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quipo\Downloads\"/>
    </mc:Choice>
  </mc:AlternateContent>
  <xr:revisionPtr revIDLastSave="0" documentId="13_ncr:1_{2174AF8F-D6F7-4C21-91C5-6C6AD8F1C8A8}" xr6:coauthVersionLast="47" xr6:coauthVersionMax="47" xr10:uidLastSave="{00000000-0000-0000-0000-000000000000}"/>
  <bookViews>
    <workbookView xWindow="-120" yWindow="-120" windowWidth="29040" windowHeight="15840" firstSheet="15" activeTab="15" xr2:uid="{658D250C-2CAA-4145-A2C9-5C24F117CE0B}"/>
  </bookViews>
  <sheets>
    <sheet name="Datosimportados" sheetId="2" state="hidden" r:id="rId1"/>
    <sheet name="Modelo_Estrella" sheetId="3" state="hidden" r:id="rId2"/>
    <sheet name="Estadistica_ToolPak" sheetId="14" state="hidden" r:id="rId3"/>
    <sheet name="Fact_Ventas" sheetId="13" state="hidden" r:id="rId4"/>
    <sheet name="Dim_Calendario" sheetId="5" state="hidden" r:id="rId5"/>
    <sheet name="Dim_Clientes" sheetId="6" state="hidden" r:id="rId6"/>
    <sheet name="Dim_Productos" sheetId="7" state="hidden" r:id="rId7"/>
    <sheet name="Medidas_DAX" sheetId="8" state="hidden" r:id="rId8"/>
    <sheet name="Estadistica_Descriptiva" sheetId="9" state="hidden" r:id="rId9"/>
    <sheet name="Resumen del escenario" sheetId="15" state="hidden" r:id="rId10"/>
    <sheet name="Resumen del escenario 2" sheetId="16" state="hidden" r:id="rId11"/>
    <sheet name="Resumen del escenario 3" sheetId="17" state="hidden" r:id="rId12"/>
    <sheet name="Resumen del escenario 4" sheetId="18" state="hidden" r:id="rId13"/>
    <sheet name="Simulacion" sheetId="10" state="hidden" r:id="rId14"/>
    <sheet name="Resumen_Escenarios" sheetId="11" state="hidden" r:id="rId15"/>
    <sheet name="Dashboard Final" sheetId="19" r:id="rId16"/>
    <sheet name="Prompts IA utilizados" sheetId="20" r:id="rId17"/>
  </sheets>
  <definedNames>
    <definedName name="DatosExternos_1" localSheetId="0" hidden="1">Datosimportados!$A$1:$G$51</definedName>
    <definedName name="DatosExternos_2" localSheetId="3" hidden="1">Fact_Ventas!$A$1:$F$51</definedName>
    <definedName name="SegmentaciónDeDatos_Cliente">#N/A</definedName>
    <definedName name="SegmentaciónDeDatos_Mes">#N/A</definedName>
    <definedName name="SegmentaciónDeDatos_Producto">#N/A</definedName>
    <definedName name="Tasa_Costo">Simulacion!$B$4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8"/>
        <x14:slicerCache r:id="rId19"/>
        <x14:slicerCache r:id="rId20"/>
      </x15:slicerCach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Ventas__  2_ead0cf42-4d97-4c6d-8608-b6b23dc51b50" name="FactVentas__  2" connection="Consulta - FactVentas__ (2)"/>
          <x15:modelTable id="DimCalendario_f106e8f2-02ff-4dcf-bec0-ba6ee0ffae7e" name="DimCalendario" connection="Consulta - DimCalendario"/>
          <x15:modelTable id="DimClientes_0c772028-de09-49eb-84da-69e6d6c126f6" name="DimClientes" connection="Consulta - DimClientes"/>
          <x15:modelTable id="DimProductos_eb8d9bda-41f4-4a7c-b401-b40d0eb5ef8b" name="DimProductos" connection="Consulta - DimProductos"/>
          <x15:modelTable id="FactVentas__  3_f1b47990-362e-48b2-8246-312d1055c794" name="FactVentas__  3" connection="Consulta - FactVentas__ (3)"/>
        </x15:modelTables>
        <x15:modelRelationships>
          <x15:modelRelationship fromTable="DimCalendario" fromColumn="Fecha" toTable="FactVentas__  3" toColumn="Fecha"/>
          <x15:modelRelationship fromTable="FactVentas__  3" fromColumn="ID_Cliente" toTable="DimClientes" toColumn="ID_Cliente"/>
          <x15:modelRelationship fromTable="FactVentas__  3" fromColumn="ID_Producto" toTable="DimProductos" toColumn="ID_Producto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0" i="19" l="1"/>
  <c r="M6" i="19"/>
  <c r="E6" i="19"/>
  <c r="A6" i="1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E5" i="11"/>
  <c r="D5" i="11"/>
  <c r="B4" i="11"/>
  <c r="B5" i="11" s="1"/>
  <c r="B6" i="11" s="1"/>
  <c r="B7" i="11" s="1"/>
  <c r="C4" i="11"/>
  <c r="C5" i="11" s="1"/>
  <c r="D4" i="11"/>
  <c r="E4" i="11"/>
  <c r="B5" i="10"/>
  <c r="D6" i="11" l="1"/>
  <c r="D7" i="11" s="1"/>
  <c r="E6" i="11"/>
  <c r="E7" i="11" s="1"/>
  <c r="B6" i="10"/>
  <c r="B7" i="10" s="1"/>
  <c r="B8" i="10" s="1"/>
  <c r="C6" i="11"/>
  <c r="C7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7EAD2F-A32A-4D71-BF61-C66AB35AD92E}" keepAlive="1" name="Consulta - Datosimportados" description="Conexión a la consulta 'Datosimportados' en el libro." type="5" refreshedVersion="8" background="1" saveData="1">
    <dbPr connection="Provider=Microsoft.Mashup.OleDb.1;Data Source=$Workbook$;Location=Datosimportados;Extended Properties=&quot;&quot;" command="SELECT * FROM [Datosimportados]"/>
  </connection>
  <connection id="2" xr16:uid="{9430A77F-B726-4E88-8D2A-09314DFEFA9E}" name="Consulta - DimCalendario" description="Conexión a la consulta 'DimCalendario' en el libro." type="100" refreshedVersion="8" minRefreshableVersion="5">
    <extLst>
      <ext xmlns:x15="http://schemas.microsoft.com/office/spreadsheetml/2010/11/main" uri="{DE250136-89BD-433C-8126-D09CA5730AF9}">
        <x15:connection id="d71839d7-f4f3-4f80-9c43-96175b7d9e7f"/>
      </ext>
    </extLst>
  </connection>
  <connection id="3" xr16:uid="{CF2BCBAB-C602-4964-8A62-54D4EEF2B411}" name="Consulta - DimClientes" description="Conexión a la consulta 'DimClientes' en el libro." type="100" refreshedVersion="8" minRefreshableVersion="5">
    <extLst>
      <ext xmlns:x15="http://schemas.microsoft.com/office/spreadsheetml/2010/11/main" uri="{DE250136-89BD-433C-8126-D09CA5730AF9}">
        <x15:connection id="7ac79413-1ee4-4cae-b18f-0d94d6059a6d"/>
      </ext>
    </extLst>
  </connection>
  <connection id="4" xr16:uid="{F0CC25FC-35DA-404D-BF5A-3B7FED67CA25}" name="Consulta - DimProductos" description="Conexión a la consulta 'DimProductos' en el libro." type="100" refreshedVersion="8" minRefreshableVersion="5">
    <extLst>
      <ext xmlns:x15="http://schemas.microsoft.com/office/spreadsheetml/2010/11/main" uri="{DE250136-89BD-433C-8126-D09CA5730AF9}">
        <x15:connection id="658a1d12-7b06-4872-92ea-bf5a51cc6991"/>
      </ext>
    </extLst>
  </connection>
  <connection id="5" xr16:uid="{5A77B17A-86D6-4B3F-BB67-4F7BB7C313A8}" keepAlive="1" name="Consulta - FactVentas_" description="Conexión a la consulta 'FactVentas_' en el libro." type="5" refreshedVersion="8" background="1" saveData="1">
    <dbPr connection="Provider=Microsoft.Mashup.OleDb.1;Data Source=$Workbook$;Location=FactVentas_;Extended Properties=&quot;&quot;" command="SELECT * FROM [FactVentas_]"/>
  </connection>
  <connection id="6" xr16:uid="{852B901A-CA97-4EB8-9C77-7BAC3D251AB3}" keepAlive="1" name="Consulta - FactVentas__" description="Conexión a la consulta 'FactVentas__' en el libro." type="5" refreshedVersion="0" background="1">
    <dbPr connection="Provider=Microsoft.Mashup.OleDb.1;Data Source=$Workbook$;Location=FactVentas__;Extended Properties=&quot;&quot;" command="SELECT * FROM [FactVentas__]"/>
  </connection>
  <connection id="7" xr16:uid="{01CE72F4-4620-455D-9172-383E91FF52EC}" name="Consulta - FactVentas__ (2)" description="Conexión a la consulta 'FactVentas__ (2)' en el libro." type="100" refreshedVersion="8" minRefreshableVersion="5">
    <extLst>
      <ext xmlns:x15="http://schemas.microsoft.com/office/spreadsheetml/2010/11/main" uri="{DE250136-89BD-433C-8126-D09CA5730AF9}">
        <x15:connection id="c6cd0016-2424-47fd-835d-0057f767f071"/>
      </ext>
    </extLst>
  </connection>
  <connection id="8" xr16:uid="{C9560B88-1D1C-479B-8C64-6C7271A1099A}" name="Consulta - FactVentas__ (3)" description="Conexión a la consulta 'FactVentas__ (3)' en el libro." type="100" refreshedVersion="8" minRefreshableVersion="5">
    <extLst>
      <ext xmlns:x15="http://schemas.microsoft.com/office/spreadsheetml/2010/11/main" uri="{DE250136-89BD-433C-8126-D09CA5730AF9}">
        <x15:connection id="5b38c995-f6f6-4ba4-915f-293117d3607c"/>
      </ext>
    </extLst>
  </connection>
  <connection id="9" xr16:uid="{3A841978-D1A6-414B-BF1F-15D2AD660B64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<sst xmlns="http://schemas.openxmlformats.org/spreadsheetml/2006/main" count="715" uniqueCount="213">
  <si>
    <t>ID_Transaccion</t>
  </si>
  <si>
    <t>Fecha</t>
  </si>
  <si>
    <t>ID_Producto</t>
  </si>
  <si>
    <t>ID_Cliente</t>
  </si>
  <si>
    <t>Unidades_Kilos</t>
  </si>
  <si>
    <t>Total</t>
  </si>
  <si>
    <t>ID_Producto_Limpio</t>
  </si>
  <si>
    <t>P-008</t>
  </si>
  <si>
    <t>P-007</t>
  </si>
  <si>
    <t>P-002</t>
  </si>
  <si>
    <t>P-004</t>
  </si>
  <si>
    <t>P-006</t>
  </si>
  <si>
    <t>P-003</t>
  </si>
  <si>
    <t xml:space="preserve">  P-003 </t>
  </si>
  <si>
    <t>P-001</t>
  </si>
  <si>
    <t>P-005</t>
  </si>
  <si>
    <t xml:space="preserve">  P-002 </t>
  </si>
  <si>
    <t xml:space="preserve">  P-001 </t>
  </si>
  <si>
    <t xml:space="preserve">  P-008 </t>
  </si>
  <si>
    <t xml:space="preserve">  P-006 </t>
  </si>
  <si>
    <t>Año</t>
  </si>
  <si>
    <t>Mes_Nro</t>
  </si>
  <si>
    <t>Mes</t>
  </si>
  <si>
    <t>Trimestre</t>
  </si>
  <si>
    <t>Dia</t>
  </si>
  <si>
    <t>enero</t>
  </si>
  <si>
    <t>T1</t>
  </si>
  <si>
    <t>febrero</t>
  </si>
  <si>
    <t>Cliente</t>
  </si>
  <si>
    <t>Cliente 101</t>
  </si>
  <si>
    <t>Cliente 102</t>
  </si>
  <si>
    <t>Cliente 103</t>
  </si>
  <si>
    <t>Cliente 104</t>
  </si>
  <si>
    <t>Cliente 105</t>
  </si>
  <si>
    <t>Producto</t>
  </si>
  <si>
    <t>Producto 001</t>
  </si>
  <si>
    <t>Producto 002</t>
  </si>
  <si>
    <t>Producto 003</t>
  </si>
  <si>
    <t>Producto 004</t>
  </si>
  <si>
    <t>Producto 005</t>
  </si>
  <si>
    <t>Producto 006</t>
  </si>
  <si>
    <t>Producto 007</t>
  </si>
  <si>
    <t>Producto 008</t>
  </si>
  <si>
    <t>MODELO DIMENSIONAL — ESQUEMA ESTRELLA</t>
  </si>
  <si>
    <t>Diseño preparado para Power Pivot | 50 transacciones</t>
  </si>
  <si>
    <t>DIM CALENDARIO</t>
  </si>
  <si>
    <t>TABLA DE HECHOS</t>
  </si>
  <si>
    <t>DIM CLIENTES</t>
  </si>
  <si>
    <t>DimCalendario</t>
  </si>
  <si>
    <t>FactVentas</t>
  </si>
  <si>
    <t>DimClientes</t>
  </si>
  <si>
    <t>PK: Fecha</t>
  </si>
  <si>
    <t>FK: Fecha</t>
  </si>
  <si>
    <t>PK: ID_Cliente</t>
  </si>
  <si>
    <t>Año / Mes / Trimestre / Día</t>
  </si>
  <si>
    <t>FK: ID_Producto</t>
  </si>
  <si>
    <t>FK: ID_Cliente</t>
  </si>
  <si>
    <t>DIM PRODUCTOS</t>
  </si>
  <si>
    <t>RELACIONES 1:N</t>
  </si>
  <si>
    <t>DimProductos</t>
  </si>
  <si>
    <t>DimCalendario[Fecha] 1 → N FactVentas[Fecha]</t>
  </si>
  <si>
    <t>PK: ID_Producto</t>
  </si>
  <si>
    <t>DimClientes[ID_Cliente] 1 → N FactVentas[ID_Cliente]</t>
  </si>
  <si>
    <t>DimProductos[ID_Producto] 1 → N FactVentas[ID_Producto]</t>
  </si>
  <si>
    <t>Dirección de filtro: dimensión → hechos</t>
  </si>
  <si>
    <t>Estado nativo</t>
  </si>
  <si>
    <t>Las tablas y cálculos están preparados; las relaciones y medidas deben activarse dentro de Power Pivot.</t>
  </si>
  <si>
    <t>MEDIDAS DAX OPTIMIZADAS</t>
  </si>
  <si>
    <t>Medida</t>
  </si>
  <si>
    <t>Expresión DAX</t>
  </si>
  <si>
    <t>Uso</t>
  </si>
  <si>
    <t>Total Ventas</t>
  </si>
  <si>
    <t>Total Ventas :=
SUM ( FactVentas[Total] )</t>
  </si>
  <si>
    <t>Suma las ventas respetando el contexto de filtro.</t>
  </si>
  <si>
    <t>Margen Neto Estimado</t>
  </si>
  <si>
    <t>Margen Neto Estimado :=
VAR Ventas = [Total Ventas]
VAR TasaCosto = 0.65
VAR CostoEstimado = Ventas * TasaCosto
RETURN
    Ventas - CostoEstimado</t>
  </si>
  <si>
    <t>Estima margen con tasa de costo base de 65%; usa VAR / RETURN.</t>
  </si>
  <si>
    <t>Margen Neto %</t>
  </si>
  <si>
    <t>Margen Neto % :=
VAR Ventas = [Total Ventas]
VAR Margen = [Margen Neto Estimado]
RETURN
    DIVIDE ( Margen, Ventas, 0 )</t>
  </si>
  <si>
    <t>Expresa el margen estimado como porcentaje de ventas.</t>
  </si>
  <si>
    <t>Nota</t>
  </si>
  <si>
    <t>No existe un campo de costo en la fuente; por eso el margen es una simulación explícita, no un margen contable real.</t>
  </si>
  <si>
    <t>ESTADÍSTICA DESCRIPTIVA — TOTAL DE VENTAS</t>
  </si>
  <si>
    <t>Variable principal</t>
  </si>
  <si>
    <t>FactVentas[Total]</t>
  </si>
  <si>
    <t>Estadístico</t>
  </si>
  <si>
    <t>Valor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</si>
  <si>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</si>
  <si>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</si>
  <si>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</si>
  <si>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</si>
  <si>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</si>
  <si>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</si>
  <si>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</si>
  <si>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</si>
  <si>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</si>
  <si>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</si>
  <si>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</si>
  <si>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</si>
  <si>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</si>
  <si>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Nivel de confianza (95%)</t>
  </si>
  <si>
    <t>SIMULACIÓN DE COSTO Y MARGEN</t>
  </si>
  <si>
    <t>Supuesto editable; la fuente no incluye costos reales.</t>
  </si>
  <si>
    <t>Variable</t>
  </si>
  <si>
    <t>Tasa de costo (Base)</t>
  </si>
  <si>
    <t>Costo Estimado</t>
  </si>
  <si>
    <t>Escenario</t>
  </si>
  <si>
    <t>Tasa de costo</t>
  </si>
  <si>
    <t>Pesimista</t>
  </si>
  <si>
    <t>Base</t>
  </si>
  <si>
    <t>Optimista</t>
  </si>
  <si>
    <t>RESUMEN DE ESCENARIOS</t>
  </si>
  <si>
    <t>Celdas cambiantes y resultados</t>
  </si>
  <si>
    <t>Valores actuales</t>
  </si>
  <si>
    <t>Supuesto</t>
  </si>
  <si>
    <t>La tasa de costo es modelada porque la base importada no contiene costos.</t>
  </si>
  <si>
    <t>ACTIVACIÓN NATIVA EN POWER PIVOT</t>
  </si>
  <si>
    <t>Estado</t>
  </si>
  <si>
    <t>Acción</t>
  </si>
  <si>
    <t>Consultas: Solo crear conexión</t>
  </si>
  <si>
    <t>Requiere interfaz</t>
  </si>
  <si>
    <t>Datos &gt; Consultas y conexiones &gt; Cargar en...</t>
  </si>
  <si>
    <t>Agregar al Modelo de datos</t>
  </si>
  <si>
    <t>Marcar Agregar estos datos al Modelo de datos</t>
  </si>
  <si>
    <t>Relaciones 1:N</t>
  </si>
  <si>
    <t>Diseño preparado</t>
  </si>
  <si>
    <t>Crear las 3 relaciones indicadas en este esquema</t>
  </si>
  <si>
    <t>Medidas DAX</t>
  </si>
  <si>
    <t>Código preparado</t>
  </si>
  <si>
    <t>Copiar las medidas de la hoja Medidas_DAX</t>
  </si>
  <si>
    <t>Analysis ToolPak</t>
  </si>
  <si>
    <t>Resultado equivalente listo</t>
  </si>
  <si>
    <t>La salida completa está en Estadistica_Descriptiva</t>
  </si>
  <si>
    <t>Administrador de Escenarios</t>
  </si>
  <si>
    <t>Usar Simulacion!B4 como celda cambiante</t>
  </si>
  <si>
    <t>Resumen de escenarios</t>
  </si>
  <si>
    <t>Listo</t>
  </si>
  <si>
    <t>Ver hoja Resumen_Escenarios</t>
  </si>
  <si>
    <t>Nivel de confianza(95,0%)</t>
  </si>
  <si>
    <t>Tasa_Costo</t>
  </si>
  <si>
    <t>$B$5</t>
  </si>
  <si>
    <t>$B$6</t>
  </si>
  <si>
    <t>$B$7</t>
  </si>
  <si>
    <t>$B$8</t>
  </si>
  <si>
    <t>Pesimista 75%</t>
  </si>
  <si>
    <t>Creado por agustin cantalupo el 29/9/2026</t>
  </si>
  <si>
    <t>Resumen del escenario</t>
  </si>
  <si>
    <t>Celdas cambiantes:</t>
  </si>
  <si>
    <t>Valores actuales:</t>
  </si>
  <si>
    <t>Celdas de resultado:</t>
  </si>
  <si>
    <t>Notas: La columna de valores actuales representa los valores de las celdas cambiantes</t>
  </si>
  <si>
    <t>en el momento en que se creó el Informe resumen de escenario. Las celdas cambiantes de</t>
  </si>
  <si>
    <t>cada escenario se muestran en gris.</t>
  </si>
  <si>
    <t>Creado por agustin cantalupo el 30/9/2026
Modificado por agustin cantalupo el 30/9/2026</t>
  </si>
  <si>
    <t>Base 65%</t>
  </si>
  <si>
    <t>Optimista 55%</t>
  </si>
  <si>
    <t>DASHBOARD COMERCIAL — VENTAS 2026</t>
  </si>
  <si>
    <t>50 transacciones | enero–febrero 2026 | filtros por mes, producto y cliente</t>
  </si>
  <si>
    <t>VENTAS VISIBLES</t>
  </si>
  <si>
    <t>Unidades</t>
  </si>
  <si>
    <t>Margen Estimado</t>
  </si>
  <si>
    <t>La venta diaria muestra alta volatilidad: use los filtros para aislar patrones</t>
  </si>
  <si>
    <t>Las operaciones de alto valor no dependen sólo del volumen</t>
  </si>
  <si>
    <t>NOTAS DE ANÁLISIS ASISTIDO POR IA</t>
  </si>
  <si>
    <t>Hipótesis a validar: (1) el mix de productos explica operaciones de alto valor con pocas unidades; (2) la dispersión amplia sugiere precios unitarios heterogéneos; (3) la volatilidad diaria puede deberse a concentración de pedidos. Validación recomendada: incorporar costo real, canal y región antes de afirmar causalidad.</t>
  </si>
  <si>
    <t>Nota metodológica: margen estimado = 35% de ventas (costo supuesto 65%). YoY = N/D porque la fuente sólo contiene enero–febrero de 2026.</t>
  </si>
  <si>
    <t>Semilla</t>
  </si>
  <si>
    <t>DOCUMENTACIÓN DE USO DE CHATGPT — VALIDACIÓN DE INSIGHTS</t>
  </si>
  <si>
    <t>N°</t>
  </si>
  <si>
    <t>Objetivo</t>
  </si>
  <si>
    <t>Prompt utilizado</t>
  </si>
  <si>
    <t>Respuesta / hipótesis incorporada</t>
  </si>
  <si>
    <t>Aplicación en el dashboard</t>
  </si>
  <si>
    <t>Validar anomalías</t>
  </si>
  <si>
    <t>Tengo operaciones con ventas muy altas y pocas unidades. ¿Qué hipótesis de negocio podrían explicarlo y qué datos debo revisar antes de concluir?</t>
  </si>
  <si>
    <t>Mix premium, descuentos por volumen, errores de carga o diferencias de precio unitario; revisar producto, canal y costo.</t>
  </si>
  <si>
    <t>Nota narrativa junto al gráfico de dispersión</t>
  </si>
  <si>
    <t>Aplicado</t>
  </si>
  <si>
    <t>Desafiar el margen</t>
  </si>
  <si>
    <t>El margen cae o sube bajo un costo supuesto del 65%. ¿Qué limitaciones tiene este insight?</t>
  </si>
  <si>
    <t>No es margen contable; falta costo real, logística, descuentos e impuestos.</t>
  </si>
  <si>
    <t>Nota metodológica y KPI rotulado como estimado</t>
  </si>
  <si>
    <t>Explicar volatilidad</t>
  </si>
  <si>
    <t>La serie diaria muestra alta dispersión. ¿Qué causas plausibles y pruebas recomendarías?</t>
  </si>
  <si>
    <t>Concentración de pedidos, estacionalidad, clientes grandes o mix; segmentar por cliente/producto y ampliar el horizonte.</t>
  </si>
  <si>
    <t>Slicers y título narrativo del gráfico temporal</t>
  </si>
  <si>
    <t>Evitar falsa precisión</t>
  </si>
  <si>
    <t>Sólo tengo enero y febrero de 2026. ¿Puedo calcular crecimiento YoY?</t>
  </si>
  <si>
    <t>No. Se requieren meses comparables de 2025; mostrar N/D y documentar la limitación.</t>
  </si>
  <si>
    <t>Tarjeta YoY en N/D con explicación</t>
  </si>
  <si>
    <t>CHECKLIST DE ENTREGA</t>
  </si>
  <si>
    <t>Criterio</t>
  </si>
  <si>
    <t>Evidencia</t>
  </si>
  <si>
    <t>Dashboard Final</t>
  </si>
  <si>
    <t>Hoja principal con KPIs, filtros, narrativa y gráficos</t>
  </si>
  <si>
    <t>CUMPLE</t>
  </si>
  <si>
    <t>Layout profesional</t>
  </si>
  <si>
    <t>Paleta: azul marino, turquesa y gris claro; grilla oculta</t>
  </si>
  <si>
    <t>&gt;=3 segmentadores</t>
  </si>
  <si>
    <t>Mes, Producto y Cliente</t>
  </si>
  <si>
    <t>Gráfico avanzado</t>
  </si>
  <si>
    <t>Dispersión de Unidades vs. Venta</t>
  </si>
  <si>
    <t>Storytelling</t>
  </si>
  <si>
    <t>Títulos orientados a hallazgos + lectura ejecutiva dinámica</t>
  </si>
  <si>
    <t>Prompts IA</t>
  </si>
  <si>
    <t>Esta hoja documenta 4 prompts y su aplicación</t>
  </si>
  <si>
    <t>Documento PDF/Word</t>
  </si>
  <si>
    <t>Esta hoja está preparada para exportar a PDF</t>
  </si>
  <si>
    <t>LISTO PARA EXPORTAR</t>
  </si>
  <si>
    <t>MARGEN ESTIMADO</t>
  </si>
  <si>
    <t>CRECIMIENTO YoY</t>
  </si>
  <si>
    <t>TRANSACCIONES</t>
  </si>
  <si>
    <t>N/D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</si>
</sst>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dd/mm/yyyy"/>
    <numFmt numFmtId="165" formatCode="&quot;$&quot;\ #,##0"/>
    <numFmt numFmtId="166" formatCode="0.0%"/>
    <numFmt numFmtId="167" formatCode="&quot;$&quot;#,##0"/>
  </numFmts>
  <fonts count="2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1"/>
      <color rgb="FF17365D"/>
      <name val="Aptos Narrow"/>
      <family val="2"/>
      <scheme val="minor"/>
    </font>
    <font>
      <sz val="11"/>
      <color rgb="FF666666"/>
      <name val="Aptos Narrow"/>
      <family val="2"/>
      <scheme val="minor"/>
    </font>
    <font>
      <b/>
      <sz val="17"/>
      <color rgb="FFFFFFFF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sz val="11"/>
      <color theme="1"/>
      <name val="Aptos"/>
      <family val="2"/>
    </font>
    <font>
      <i/>
      <sz val="11"/>
      <color theme="1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22"/>
      <color rgb="FFFFFFFF"/>
      <name val="Aptos Narrow"/>
      <family val="2"/>
      <scheme val="minor"/>
    </font>
    <font>
      <sz val="10"/>
      <color rgb="FF5F6B76"/>
      <name val="Aptos Narrow"/>
      <family val="2"/>
      <scheme val="minor"/>
    </font>
    <font>
      <b/>
      <sz val="11"/>
      <color rgb="FF17324D"/>
      <name val="Aptos Narrow"/>
      <family val="2"/>
      <scheme val="minor"/>
    </font>
    <font>
      <sz val="11"/>
      <color rgb="FF17324D"/>
      <name val="Aptos Narrow"/>
      <family val="2"/>
      <scheme val="minor"/>
    </font>
    <font>
      <i/>
      <sz val="11"/>
      <color rgb="FF5F6B76"/>
      <name val="Aptos Narrow"/>
      <family val="2"/>
      <scheme val="minor"/>
    </font>
    <font>
      <b/>
      <sz val="9"/>
      <color rgb="FF5F6B76"/>
      <name val="Aptos Narrow"/>
      <family val="2"/>
      <scheme val="minor"/>
    </font>
    <font>
      <b/>
      <sz val="20"/>
      <color rgb="FF17324D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rgb="FFF3F5F7"/>
        <bgColor indexed="64"/>
      </patternFill>
    </fill>
    <fill>
      <patternFill patternType="solid">
        <fgColor rgb="FF17324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8A6A6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2F75B5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rgb="FF18A6A6"/>
      </bottom>
      <diagonal/>
    </border>
  </borders>
  <cellStyleXfs count="1">
    <xf numFmtId="0" fontId="0" fillId="0" borderId="0"/>
  </cellStyleXfs>
  <cellXfs count="67">
    <xf numFmtId="0" fontId="0" fillId="0" borderId="0" xfId="0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4" borderId="0" xfId="0" applyFill="1"/>
    <xf numFmtId="0" fontId="2" fillId="5" borderId="1" xfId="0" applyFont="1" applyFill="1" applyBorder="1"/>
    <xf numFmtId="0" fontId="2" fillId="2" borderId="0" xfId="0" applyFont="1" applyFill="1"/>
    <xf numFmtId="0" fontId="0" fillId="4" borderId="0" xfId="0" applyFill="1" applyAlignment="1">
      <alignment wrapText="1"/>
    </xf>
    <xf numFmtId="0" fontId="1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2" fillId="5" borderId="0" xfId="0" applyFont="1" applyFill="1"/>
    <xf numFmtId="0" fontId="1" fillId="4" borderId="0" xfId="0" applyFont="1" applyFill="1"/>
    <xf numFmtId="166" fontId="0" fillId="6" borderId="0" xfId="0" applyNumberFormat="1" applyFill="1"/>
    <xf numFmtId="166" fontId="0" fillId="4" borderId="0" xfId="0" applyNumberFormat="1" applyFill="1"/>
    <xf numFmtId="166" fontId="0" fillId="7" borderId="0" xfId="0" applyNumberFormat="1" applyFill="1"/>
    <xf numFmtId="166" fontId="0" fillId="3" borderId="0" xfId="0" applyNumberFormat="1" applyFill="1"/>
    <xf numFmtId="166" fontId="0" fillId="8" borderId="0" xfId="0" applyNumberFormat="1" applyFill="1"/>
    <xf numFmtId="0" fontId="8" fillId="0" borderId="0" xfId="0" applyFont="1"/>
    <xf numFmtId="0" fontId="8" fillId="0" borderId="0" xfId="0" applyFont="1" applyAlignment="1">
      <alignment horizontal="right"/>
    </xf>
    <xf numFmtId="164" fontId="8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22" fontId="0" fillId="0" borderId="0" xfId="0" applyNumberFormat="1"/>
    <xf numFmtId="0" fontId="0" fillId="0" borderId="3" xfId="0" applyBorder="1"/>
    <xf numFmtId="0" fontId="0" fillId="0" borderId="4" xfId="0" applyBorder="1"/>
    <xf numFmtId="0" fontId="9" fillId="0" borderId="5" xfId="0" applyFont="1" applyBorder="1" applyAlignment="1">
      <alignment horizontal="centerContinuous"/>
    </xf>
    <xf numFmtId="166" fontId="0" fillId="0" borderId="3" xfId="0" applyNumberFormat="1" applyBorder="1"/>
    <xf numFmtId="0" fontId="10" fillId="9" borderId="6" xfId="0" applyFont="1" applyFill="1" applyBorder="1" applyAlignment="1">
      <alignment horizontal="left"/>
    </xf>
    <xf numFmtId="0" fontId="10" fillId="9" borderId="2" xfId="0" applyFont="1" applyFill="1" applyBorder="1" applyAlignment="1">
      <alignment horizontal="left"/>
    </xf>
    <xf numFmtId="0" fontId="11" fillId="10" borderId="0" xfId="0" applyFont="1" applyFill="1" applyAlignment="1">
      <alignment horizontal="left"/>
    </xf>
    <xf numFmtId="0" fontId="12" fillId="10" borderId="4" xfId="0" applyFont="1" applyFill="1" applyBorder="1" applyAlignment="1">
      <alignment horizontal="left"/>
    </xf>
    <xf numFmtId="0" fontId="11" fillId="10" borderId="3" xfId="0" applyFont="1" applyFill="1" applyBorder="1" applyAlignment="1">
      <alignment horizontal="left"/>
    </xf>
    <xf numFmtId="0" fontId="13" fillId="9" borderId="2" xfId="0" applyFont="1" applyFill="1" applyBorder="1" applyAlignment="1">
      <alignment horizontal="right"/>
    </xf>
    <xf numFmtId="0" fontId="13" fillId="9" borderId="6" xfId="0" applyFont="1" applyFill="1" applyBorder="1" applyAlignment="1">
      <alignment horizontal="right"/>
    </xf>
    <xf numFmtId="166" fontId="0" fillId="11" borderId="0" xfId="0" applyNumberFormat="1" applyFill="1"/>
    <xf numFmtId="0" fontId="14" fillId="0" borderId="0" xfId="0" applyFont="1" applyAlignment="1">
      <alignment vertical="top" wrapText="1"/>
    </xf>
    <xf numFmtId="4" fontId="0" fillId="0" borderId="0" xfId="0" applyNumberFormat="1"/>
    <xf numFmtId="4" fontId="0" fillId="7" borderId="0" xfId="0" applyNumberFormat="1" applyFill="1"/>
    <xf numFmtId="4" fontId="0" fillId="3" borderId="0" xfId="0" applyNumberFormat="1" applyFill="1"/>
    <xf numFmtId="4" fontId="0" fillId="8" borderId="0" xfId="0" applyNumberFormat="1" applyFill="1"/>
    <xf numFmtId="0" fontId="3" fillId="2" borderId="0" xfId="0" applyFont="1" applyFill="1"/>
    <xf numFmtId="0" fontId="4" fillId="3" borderId="0" xfId="0" applyFont="1" applyFill="1"/>
    <xf numFmtId="0" fontId="6" fillId="2" borderId="0" xfId="0" applyFont="1" applyFill="1"/>
    <xf numFmtId="0" fontId="7" fillId="2" borderId="0" xfId="0" applyFont="1" applyFill="1"/>
    <xf numFmtId="0" fontId="0" fillId="6" borderId="0" xfId="0" applyFill="1"/>
    <xf numFmtId="0" fontId="0" fillId="12" borderId="0" xfId="0" applyFill="1"/>
    <xf numFmtId="0" fontId="2" fillId="13" borderId="0" xfId="0" applyFont="1" applyFill="1"/>
    <xf numFmtId="0" fontId="15" fillId="13" borderId="0" xfId="0" applyFont="1" applyFill="1" applyAlignment="1">
      <alignment vertical="center"/>
    </xf>
    <xf numFmtId="0" fontId="16" fillId="0" borderId="0" xfId="0" applyFont="1"/>
    <xf numFmtId="164" fontId="0" fillId="0" borderId="0" xfId="0" applyNumberFormat="1"/>
    <xf numFmtId="167" fontId="0" fillId="0" borderId="0" xfId="0" applyNumberFormat="1"/>
    <xf numFmtId="0" fontId="17" fillId="0" borderId="0" xfId="0" applyFont="1"/>
    <xf numFmtId="0" fontId="18" fillId="14" borderId="0" xfId="0" applyFont="1" applyFill="1" applyAlignment="1">
      <alignment vertical="center" wrapText="1"/>
    </xf>
    <xf numFmtId="0" fontId="19" fillId="0" borderId="0" xfId="0" applyFont="1" applyAlignment="1">
      <alignment wrapText="1"/>
    </xf>
    <xf numFmtId="0" fontId="7" fillId="13" borderId="0" xfId="0" applyFont="1" applyFill="1"/>
    <xf numFmtId="0" fontId="2" fillId="15" borderId="0" xfId="0" applyFont="1" applyFill="1"/>
    <xf numFmtId="0" fontId="0" fillId="0" borderId="0" xfId="0" applyAlignment="1">
      <alignment wrapText="1"/>
    </xf>
    <xf numFmtId="0" fontId="20" fillId="14" borderId="0" xfId="0" applyFont="1" applyFill="1" applyBorder="1" applyAlignment="1">
      <alignment horizontal="center"/>
    </xf>
    <xf numFmtId="167" fontId="21" fillId="14" borderId="0" xfId="0" applyNumberFormat="1" applyFont="1" applyFill="1" applyBorder="1" applyAlignment="1">
      <alignment horizontal="center" vertical="center"/>
    </xf>
    <xf numFmtId="167" fontId="21" fillId="14" borderId="7" xfId="0" applyNumberFormat="1" applyFont="1" applyFill="1" applyBorder="1" applyAlignment="1">
      <alignment horizontal="center" vertical="center"/>
    </xf>
    <xf numFmtId="0" fontId="21" fillId="14" borderId="0" xfId="0" applyFont="1" applyFill="1" applyBorder="1" applyAlignment="1">
      <alignment horizontal="center" vertical="center"/>
    </xf>
    <xf numFmtId="0" fontId="21" fillId="14" borderId="7" xfId="0" applyFont="1" applyFill="1" applyBorder="1" applyAlignment="1">
      <alignment horizontal="center" vertical="center"/>
    </xf>
    <xf numFmtId="166" fontId="21" fillId="14" borderId="0" xfId="0" applyNumberFormat="1" applyFont="1" applyFill="1" applyBorder="1" applyAlignment="1">
      <alignment horizontal="center" vertical="center"/>
    </xf>
    <xf numFmtId="1" fontId="21" fillId="14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1">
    <dxf>
      <font>
        <name val="Aptos"/>
      </font>
      <alignment horizontal="left"/>
    </dxf>
    <dxf>
      <font>
        <name val="Aptos"/>
      </font>
      <alignment horizontal="left"/>
    </dxf>
    <dxf>
      <font>
        <name val="Aptos"/>
      </font>
      <alignment horizontal="left"/>
    </dxf>
    <dxf>
      <font>
        <name val="Aptos"/>
      </font>
      <alignment horizontal="left"/>
    </dxf>
    <dxf>
      <font>
        <name val="Aptos"/>
      </font>
      <alignment horizontal="left"/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  <alignment horizontal="right"/>
    </dxf>
    <dxf>
      <font>
        <name val="Aptos"/>
      </font>
      <alignment horizontal="left"/>
    </dxf>
    <dxf>
      <font>
        <name val="Aptos"/>
      </font>
      <alignment horizontal="left"/>
    </dxf>
    <dxf>
      <font>
        <name val="Aptos"/>
      </font>
      <alignment horizontal="right"/>
    </dxf>
    <dxf>
      <font>
        <name val="Aptos"/>
      </font>
      <alignment horizontal="right"/>
    </dxf>
    <dxf>
      <font>
        <name val="Aptos"/>
      </font>
      <numFmt numFmtId="164" formatCode="dd/mm/yyyy"/>
      <alignment horizontal="right"/>
    </dxf>
    <dxf>
      <font>
        <name val="Aptos"/>
      </font>
      <alignment horizontal="right"/>
    </dxf>
    <dxf>
      <font>
        <name val="Aptos"/>
      </font>
      <alignment horizontal="right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27" formatCode="d/m/yyyy\ hh:mm"/>
    </dxf>
  </dxfs>
  <tableStyles count="1" defaultTableStyle="TableStyleMedium2" defaultPivotStyle="PivotStyleLight16">
    <tableStyle name="Invisible" pivot="0" table="0" count="0" xr9:uid="{2D1452AA-48F8-4011-AE24-20DF2B8EA29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microsoft.com/office/2017/10/relationships/person" Target="persons/person.xml"/><Relationship Id="rId21" Type="http://schemas.openxmlformats.org/officeDocument/2006/relationships/theme" Target="theme/theme1.xml"/><Relationship Id="rId42" Type="http://schemas.openxmlformats.org/officeDocument/2006/relationships/customXml" Target="../customXml/item15.xml"/><Relationship Id="rId47" Type="http://schemas.openxmlformats.org/officeDocument/2006/relationships/customXml" Target="../customXml/item20.xml"/><Relationship Id="rId63" Type="http://schemas.openxmlformats.org/officeDocument/2006/relationships/customXml" Target="../customXml/item36.xml"/><Relationship Id="rId68" Type="http://schemas.openxmlformats.org/officeDocument/2006/relationships/customXml" Target="../customXml/item4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2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32" Type="http://schemas.openxmlformats.org/officeDocument/2006/relationships/customXml" Target="../customXml/item5.xml"/><Relationship Id="rId37" Type="http://schemas.openxmlformats.org/officeDocument/2006/relationships/customXml" Target="../customXml/item10.xml"/><Relationship Id="rId40" Type="http://schemas.openxmlformats.org/officeDocument/2006/relationships/customXml" Target="../customXml/item13.xml"/><Relationship Id="rId45" Type="http://schemas.openxmlformats.org/officeDocument/2006/relationships/customXml" Target="../customXml/item18.xml"/><Relationship Id="rId53" Type="http://schemas.openxmlformats.org/officeDocument/2006/relationships/customXml" Target="../customXml/item26.xml"/><Relationship Id="rId58" Type="http://schemas.openxmlformats.org/officeDocument/2006/relationships/customXml" Target="../customXml/item31.xml"/><Relationship Id="rId66" Type="http://schemas.openxmlformats.org/officeDocument/2006/relationships/customXml" Target="../customXml/item39.xml"/><Relationship Id="rId74" Type="http://schemas.openxmlformats.org/officeDocument/2006/relationships/customXml" Target="../customXml/item47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34.xml"/><Relationship Id="rId19" Type="http://schemas.microsoft.com/office/2007/relationships/slicerCache" Target="slicerCaches/slicerCache2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Relationship Id="rId35" Type="http://schemas.openxmlformats.org/officeDocument/2006/relationships/customXml" Target="../customXml/item8.xml"/><Relationship Id="rId43" Type="http://schemas.openxmlformats.org/officeDocument/2006/relationships/customXml" Target="../customXml/item16.xml"/><Relationship Id="rId48" Type="http://schemas.openxmlformats.org/officeDocument/2006/relationships/customXml" Target="../customXml/item21.xml"/><Relationship Id="rId56" Type="http://schemas.openxmlformats.org/officeDocument/2006/relationships/customXml" Target="../customXml/item29.xml"/><Relationship Id="rId64" Type="http://schemas.openxmlformats.org/officeDocument/2006/relationships/customXml" Target="../customXml/item37.xml"/><Relationship Id="rId69" Type="http://schemas.openxmlformats.org/officeDocument/2006/relationships/customXml" Target="../customXml/item42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4.xml"/><Relationship Id="rId72" Type="http://schemas.openxmlformats.org/officeDocument/2006/relationships/customXml" Target="../customXml/item4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6.xml"/><Relationship Id="rId38" Type="http://schemas.openxmlformats.org/officeDocument/2006/relationships/customXml" Target="../customXml/item11.xml"/><Relationship Id="rId46" Type="http://schemas.openxmlformats.org/officeDocument/2006/relationships/customXml" Target="../customXml/item19.xml"/><Relationship Id="rId59" Type="http://schemas.openxmlformats.org/officeDocument/2006/relationships/customXml" Target="../customXml/item32.xml"/><Relationship Id="rId67" Type="http://schemas.openxmlformats.org/officeDocument/2006/relationships/customXml" Target="../customXml/item40.xml"/><Relationship Id="rId20" Type="http://schemas.microsoft.com/office/2007/relationships/slicerCache" Target="slicerCaches/slicerCache3.xml"/><Relationship Id="rId41" Type="http://schemas.openxmlformats.org/officeDocument/2006/relationships/customXml" Target="../customXml/item14.xml"/><Relationship Id="rId54" Type="http://schemas.openxmlformats.org/officeDocument/2006/relationships/customXml" Target="../customXml/item27.xml"/><Relationship Id="rId62" Type="http://schemas.openxmlformats.org/officeDocument/2006/relationships/customXml" Target="../customXml/item35.xml"/><Relationship Id="rId70" Type="http://schemas.openxmlformats.org/officeDocument/2006/relationships/customXml" Target="../customXml/item43.xml"/><Relationship Id="rId75" Type="http://schemas.openxmlformats.org/officeDocument/2006/relationships/customXml" Target="../customXml/item4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1.xml"/><Relationship Id="rId36" Type="http://schemas.openxmlformats.org/officeDocument/2006/relationships/customXml" Target="../customXml/item9.xml"/><Relationship Id="rId49" Type="http://schemas.openxmlformats.org/officeDocument/2006/relationships/customXml" Target="../customXml/item22.xml"/><Relationship Id="rId57" Type="http://schemas.openxmlformats.org/officeDocument/2006/relationships/customXml" Target="../customXml/item30.xml"/><Relationship Id="rId10" Type="http://schemas.openxmlformats.org/officeDocument/2006/relationships/worksheet" Target="worksheets/sheet10.xml"/><Relationship Id="rId31" Type="http://schemas.openxmlformats.org/officeDocument/2006/relationships/customXml" Target="../customXml/item4.xml"/><Relationship Id="rId44" Type="http://schemas.openxmlformats.org/officeDocument/2006/relationships/customXml" Target="../customXml/item17.xml"/><Relationship Id="rId52" Type="http://schemas.openxmlformats.org/officeDocument/2006/relationships/customXml" Target="../customXml/item25.xml"/><Relationship Id="rId60" Type="http://schemas.openxmlformats.org/officeDocument/2006/relationships/customXml" Target="../customXml/item33.xml"/><Relationship Id="rId65" Type="http://schemas.openxmlformats.org/officeDocument/2006/relationships/customXml" Target="../customXml/item38.xml"/><Relationship Id="rId73" Type="http://schemas.openxmlformats.org/officeDocument/2006/relationships/customXml" Target="../customXml/item4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microsoft.com/office/2007/relationships/slicerCache" Target="slicerCaches/slicerCache1.xml"/><Relationship Id="rId39" Type="http://schemas.openxmlformats.org/officeDocument/2006/relationships/customXml" Target="../customXml/item12.xml"/><Relationship Id="rId34" Type="http://schemas.openxmlformats.org/officeDocument/2006/relationships/customXml" Target="../customXml/item7.xml"/><Relationship Id="rId50" Type="http://schemas.openxmlformats.org/officeDocument/2006/relationships/customXml" Target="../customXml/item23.xml"/><Relationship Id="rId55" Type="http://schemas.openxmlformats.org/officeDocument/2006/relationships/customXml" Target="../customXml/item28.xml"/><Relationship Id="rId76" Type="http://schemas.openxmlformats.org/officeDocument/2006/relationships/customXml" Target="../customXml/item49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4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Volatilidad diaria de ventas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Ventas</c:v>
          </c:tx>
          <c:spPr>
            <a:ln w="28575" cap="rnd">
              <a:solidFill>
                <a:srgbClr val="18A6A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'Dashboard Final'!$A$61:$A$110</c:f>
              <c:numCache>
                <c:formatCode>dd/mm/yyyy</c:formatCode>
                <c:ptCount val="50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46054</c:v>
                </c:pt>
                <c:pt idx="30">
                  <c:v>46055</c:v>
                </c:pt>
                <c:pt idx="31">
                  <c:v>46056</c:v>
                </c:pt>
                <c:pt idx="32">
                  <c:v>46057</c:v>
                </c:pt>
                <c:pt idx="33">
                  <c:v>46058</c:v>
                </c:pt>
                <c:pt idx="34">
                  <c:v>46059</c:v>
                </c:pt>
                <c:pt idx="35">
                  <c:v>46060</c:v>
                </c:pt>
                <c:pt idx="36">
                  <c:v>46061</c:v>
                </c:pt>
                <c:pt idx="37">
                  <c:v>46062</c:v>
                </c:pt>
                <c:pt idx="38">
                  <c:v>46063</c:v>
                </c:pt>
                <c:pt idx="39">
                  <c:v>46064</c:v>
                </c:pt>
                <c:pt idx="40">
                  <c:v>46065</c:v>
                </c:pt>
                <c:pt idx="41">
                  <c:v>46066</c:v>
                </c:pt>
                <c:pt idx="42">
                  <c:v>46067</c:v>
                </c:pt>
                <c:pt idx="43">
                  <c:v>46068</c:v>
                </c:pt>
                <c:pt idx="44">
                  <c:v>46069</c:v>
                </c:pt>
                <c:pt idx="45">
                  <c:v>46070</c:v>
                </c:pt>
                <c:pt idx="46">
                  <c:v>46071</c:v>
                </c:pt>
                <c:pt idx="47">
                  <c:v>46072</c:v>
                </c:pt>
                <c:pt idx="48">
                  <c:v>46073</c:v>
                </c:pt>
                <c:pt idx="49">
                  <c:v>46074</c:v>
                </c:pt>
              </c:numCache>
            </c:numRef>
          </c:cat>
          <c:val>
            <c:numRef>
              <c:f>'Dashboard Final'!$F$61:$F$110</c:f>
              <c:numCache>
                <c:formatCode>"$"#,##0</c:formatCode>
                <c:ptCount val="50"/>
                <c:pt idx="0">
                  <c:v>407865</c:v>
                </c:pt>
                <c:pt idx="1">
                  <c:v>226080</c:v>
                </c:pt>
                <c:pt idx="2">
                  <c:v>86657</c:v>
                </c:pt>
                <c:pt idx="3">
                  <c:v>192881</c:v>
                </c:pt>
                <c:pt idx="4">
                  <c:v>387744</c:v>
                </c:pt>
                <c:pt idx="5">
                  <c:v>166789</c:v>
                </c:pt>
                <c:pt idx="6">
                  <c:v>95071</c:v>
                </c:pt>
                <c:pt idx="7">
                  <c:v>175472</c:v>
                </c:pt>
                <c:pt idx="8">
                  <c:v>442023</c:v>
                </c:pt>
                <c:pt idx="9">
                  <c:v>372255</c:v>
                </c:pt>
                <c:pt idx="10">
                  <c:v>250137</c:v>
                </c:pt>
                <c:pt idx="11">
                  <c:v>194193</c:v>
                </c:pt>
                <c:pt idx="12">
                  <c:v>209071</c:v>
                </c:pt>
                <c:pt idx="13">
                  <c:v>34258</c:v>
                </c:pt>
                <c:pt idx="14">
                  <c:v>284022</c:v>
                </c:pt>
                <c:pt idx="15">
                  <c:v>87654</c:v>
                </c:pt>
                <c:pt idx="16">
                  <c:v>170346</c:v>
                </c:pt>
                <c:pt idx="17">
                  <c:v>267284</c:v>
                </c:pt>
                <c:pt idx="18">
                  <c:v>350167</c:v>
                </c:pt>
                <c:pt idx="19">
                  <c:v>401589</c:v>
                </c:pt>
                <c:pt idx="20">
                  <c:v>144586</c:v>
                </c:pt>
                <c:pt idx="21">
                  <c:v>117953</c:v>
                </c:pt>
                <c:pt idx="22">
                  <c:v>335952</c:v>
                </c:pt>
                <c:pt idx="23">
                  <c:v>122680</c:v>
                </c:pt>
                <c:pt idx="24">
                  <c:v>126358</c:v>
                </c:pt>
                <c:pt idx="25">
                  <c:v>288973</c:v>
                </c:pt>
                <c:pt idx="26">
                  <c:v>296799</c:v>
                </c:pt>
                <c:pt idx="27">
                  <c:v>28871</c:v>
                </c:pt>
                <c:pt idx="28">
                  <c:v>420138</c:v>
                </c:pt>
                <c:pt idx="29">
                  <c:v>256202</c:v>
                </c:pt>
                <c:pt idx="30">
                  <c:v>392600</c:v>
                </c:pt>
                <c:pt idx="31">
                  <c:v>105113</c:v>
                </c:pt>
                <c:pt idx="32">
                  <c:v>74050</c:v>
                </c:pt>
                <c:pt idx="33">
                  <c:v>350123</c:v>
                </c:pt>
                <c:pt idx="34">
                  <c:v>281246</c:v>
                </c:pt>
                <c:pt idx="35">
                  <c:v>131205</c:v>
                </c:pt>
                <c:pt idx="36">
                  <c:v>246296</c:v>
                </c:pt>
                <c:pt idx="37">
                  <c:v>337884</c:v>
                </c:pt>
                <c:pt idx="38">
                  <c:v>15166</c:v>
                </c:pt>
                <c:pt idx="39">
                  <c:v>129699</c:v>
                </c:pt>
                <c:pt idx="40">
                  <c:v>184990</c:v>
                </c:pt>
                <c:pt idx="41">
                  <c:v>351837</c:v>
                </c:pt>
                <c:pt idx="42">
                  <c:v>22157</c:v>
                </c:pt>
                <c:pt idx="43">
                  <c:v>374661</c:v>
                </c:pt>
                <c:pt idx="44">
                  <c:v>435925</c:v>
                </c:pt>
                <c:pt idx="45">
                  <c:v>134187</c:v>
                </c:pt>
                <c:pt idx="46">
                  <c:v>416770</c:v>
                </c:pt>
                <c:pt idx="47">
                  <c:v>143367</c:v>
                </c:pt>
                <c:pt idx="48">
                  <c:v>415946</c:v>
                </c:pt>
                <c:pt idx="49">
                  <c:v>308719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D7-45CC-995D-5D70BE087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1196768"/>
        <c:axId val="1945358560"/>
      </c:lineChart>
      <c:dateAx>
        <c:axId val="1801196768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45358560"/>
        <c:crosses val="autoZero"/>
        <c:auto val="0"/>
        <c:lblOffset val="100"/>
        <c:baseTimeUnit val="days"/>
      </c:dateAx>
      <c:valAx>
        <c:axId val="1945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01196768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Anomalías: valor vendido vs. unidades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Operaciones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'Dashboard Final'!$E$61:$E$110</c:f>
              <c:numCache>
                <c:formatCode>0</c:formatCode>
                <c:ptCount val="50"/>
                <c:pt idx="0">
                  <c:v>2</c:v>
                </c:pt>
                <c:pt idx="1">
                  <c:v>9</c:v>
                </c:pt>
                <c:pt idx="2">
                  <c:v>9</c:v>
                </c:pt>
                <c:pt idx="3">
                  <c:v>11</c:v>
                </c:pt>
                <c:pt idx="4">
                  <c:v>7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2</c:v>
                </c:pt>
                <c:pt idx="9">
                  <c:v>3</c:v>
                </c:pt>
                <c:pt idx="10">
                  <c:v>7</c:v>
                </c:pt>
                <c:pt idx="11">
                  <c:v>2</c:v>
                </c:pt>
                <c:pt idx="12">
                  <c:v>10</c:v>
                </c:pt>
                <c:pt idx="13">
                  <c:v>6</c:v>
                </c:pt>
                <c:pt idx="14">
                  <c:v>7</c:v>
                </c:pt>
                <c:pt idx="15">
                  <c:v>12</c:v>
                </c:pt>
                <c:pt idx="16">
                  <c:v>10</c:v>
                </c:pt>
                <c:pt idx="17">
                  <c:v>7</c:v>
                </c:pt>
                <c:pt idx="18">
                  <c:v>2</c:v>
                </c:pt>
                <c:pt idx="19">
                  <c:v>5</c:v>
                </c:pt>
                <c:pt idx="20">
                  <c:v>4</c:v>
                </c:pt>
                <c:pt idx="21">
                  <c:v>1</c:v>
                </c:pt>
                <c:pt idx="22">
                  <c:v>4</c:v>
                </c:pt>
                <c:pt idx="23">
                  <c:v>10</c:v>
                </c:pt>
                <c:pt idx="24">
                  <c:v>1</c:v>
                </c:pt>
                <c:pt idx="25">
                  <c:v>11</c:v>
                </c:pt>
                <c:pt idx="26">
                  <c:v>5</c:v>
                </c:pt>
                <c:pt idx="27">
                  <c:v>2</c:v>
                </c:pt>
                <c:pt idx="28">
                  <c:v>12</c:v>
                </c:pt>
                <c:pt idx="29">
                  <c:v>11</c:v>
                </c:pt>
                <c:pt idx="30">
                  <c:v>2</c:v>
                </c:pt>
                <c:pt idx="31">
                  <c:v>7</c:v>
                </c:pt>
                <c:pt idx="32">
                  <c:v>1</c:v>
                </c:pt>
                <c:pt idx="33">
                  <c:v>7</c:v>
                </c:pt>
                <c:pt idx="34">
                  <c:v>9</c:v>
                </c:pt>
                <c:pt idx="35">
                  <c:v>7</c:v>
                </c:pt>
                <c:pt idx="36">
                  <c:v>4</c:v>
                </c:pt>
                <c:pt idx="37">
                  <c:v>4</c:v>
                </c:pt>
                <c:pt idx="38">
                  <c:v>3</c:v>
                </c:pt>
                <c:pt idx="39">
                  <c:v>12</c:v>
                </c:pt>
                <c:pt idx="40">
                  <c:v>1</c:v>
                </c:pt>
                <c:pt idx="41">
                  <c:v>5</c:v>
                </c:pt>
                <c:pt idx="42">
                  <c:v>10</c:v>
                </c:pt>
                <c:pt idx="43">
                  <c:v>7</c:v>
                </c:pt>
                <c:pt idx="44">
                  <c:v>12</c:v>
                </c:pt>
                <c:pt idx="45">
                  <c:v>7</c:v>
                </c:pt>
                <c:pt idx="46">
                  <c:v>3</c:v>
                </c:pt>
                <c:pt idx="47">
                  <c:v>7</c:v>
                </c:pt>
                <c:pt idx="48">
                  <c:v>11</c:v>
                </c:pt>
                <c:pt idx="49">
                  <c:v>12</c:v>
                </c:pt>
              </c:numCache>
            </c:numRef>
          </c:xVal>
          <c:yVal>
            <c:numRef>
              <c:f>'Dashboard Final'!$F$61:$F$110</c:f>
              <c:numCache>
                <c:formatCode>"$"#,##0</c:formatCode>
                <c:ptCount val="50"/>
                <c:pt idx="0">
                  <c:v>407865</c:v>
                </c:pt>
                <c:pt idx="1">
                  <c:v>226080</c:v>
                </c:pt>
                <c:pt idx="2">
                  <c:v>86657</c:v>
                </c:pt>
                <c:pt idx="3">
                  <c:v>192881</c:v>
                </c:pt>
                <c:pt idx="4">
                  <c:v>387744</c:v>
                </c:pt>
                <c:pt idx="5">
                  <c:v>166789</c:v>
                </c:pt>
                <c:pt idx="6">
                  <c:v>95071</c:v>
                </c:pt>
                <c:pt idx="7">
                  <c:v>175472</c:v>
                </c:pt>
                <c:pt idx="8">
                  <c:v>442023</c:v>
                </c:pt>
                <c:pt idx="9">
                  <c:v>372255</c:v>
                </c:pt>
                <c:pt idx="10">
                  <c:v>250137</c:v>
                </c:pt>
                <c:pt idx="11">
                  <c:v>194193</c:v>
                </c:pt>
                <c:pt idx="12">
                  <c:v>209071</c:v>
                </c:pt>
                <c:pt idx="13">
                  <c:v>34258</c:v>
                </c:pt>
                <c:pt idx="14">
                  <c:v>284022</c:v>
                </c:pt>
                <c:pt idx="15">
                  <c:v>87654</c:v>
                </c:pt>
                <c:pt idx="16">
                  <c:v>170346</c:v>
                </c:pt>
                <c:pt idx="17">
                  <c:v>267284</c:v>
                </c:pt>
                <c:pt idx="18">
                  <c:v>350167</c:v>
                </c:pt>
                <c:pt idx="19">
                  <c:v>401589</c:v>
                </c:pt>
                <c:pt idx="20">
                  <c:v>144586</c:v>
                </c:pt>
                <c:pt idx="21">
                  <c:v>117953</c:v>
                </c:pt>
                <c:pt idx="22">
                  <c:v>335952</c:v>
                </c:pt>
                <c:pt idx="23">
                  <c:v>122680</c:v>
                </c:pt>
                <c:pt idx="24">
                  <c:v>126358</c:v>
                </c:pt>
                <c:pt idx="25">
                  <c:v>288973</c:v>
                </c:pt>
                <c:pt idx="26">
                  <c:v>296799</c:v>
                </c:pt>
                <c:pt idx="27">
                  <c:v>28871</c:v>
                </c:pt>
                <c:pt idx="28">
                  <c:v>420138</c:v>
                </c:pt>
                <c:pt idx="29">
                  <c:v>256202</c:v>
                </c:pt>
                <c:pt idx="30">
                  <c:v>392600</c:v>
                </c:pt>
                <c:pt idx="31">
                  <c:v>105113</c:v>
                </c:pt>
                <c:pt idx="32">
                  <c:v>74050</c:v>
                </c:pt>
                <c:pt idx="33">
                  <c:v>350123</c:v>
                </c:pt>
                <c:pt idx="34">
                  <c:v>281246</c:v>
                </c:pt>
                <c:pt idx="35">
                  <c:v>131205</c:v>
                </c:pt>
                <c:pt idx="36">
                  <c:v>246296</c:v>
                </c:pt>
                <c:pt idx="37">
                  <c:v>337884</c:v>
                </c:pt>
                <c:pt idx="38">
                  <c:v>15166</c:v>
                </c:pt>
                <c:pt idx="39">
                  <c:v>129699</c:v>
                </c:pt>
                <c:pt idx="40">
                  <c:v>184990</c:v>
                </c:pt>
                <c:pt idx="41">
                  <c:v>351837</c:v>
                </c:pt>
                <c:pt idx="42">
                  <c:v>22157</c:v>
                </c:pt>
                <c:pt idx="43">
                  <c:v>374661</c:v>
                </c:pt>
                <c:pt idx="44">
                  <c:v>435925</c:v>
                </c:pt>
                <c:pt idx="45">
                  <c:v>134187</c:v>
                </c:pt>
                <c:pt idx="46">
                  <c:v>416770</c:v>
                </c:pt>
                <c:pt idx="47">
                  <c:v>143367</c:v>
                </c:pt>
                <c:pt idx="48">
                  <c:v>415946</c:v>
                </c:pt>
                <c:pt idx="49">
                  <c:v>308719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EC-4C8B-940B-64CA4F18E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1199552"/>
        <c:axId val="1800632032"/>
      </c:scatterChart>
      <c:valAx>
        <c:axId val="1801199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Unidades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00632032"/>
        <c:crosses val="autoZero"/>
        <c:crossBetween val="midCat"/>
      </c:valAx>
      <c:valAx>
        <c:axId val="180063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Venta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01199552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2" name="TendenciaVentas">
          <a:extLst>
            <a:ext uri="{FF2B5EF4-FFF2-40B4-BE49-F238E27FC236}">
              <a16:creationId xmlns:a16="http://schemas.microsoft.com/office/drawing/2014/main" id="{4D5394B8-A93C-BB7C-F305-6FD2F3ABBD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14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3" name="DispersionAnomalias">
          <a:extLst>
            <a:ext uri="{FF2B5EF4-FFF2-40B4-BE49-F238E27FC236}">
              <a16:creationId xmlns:a16="http://schemas.microsoft.com/office/drawing/2014/main" id="{CCB6CBE4-E846-5FF6-B989-5F3F7EF617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117475</xdr:colOff>
      <xdr:row>44</xdr:row>
      <xdr:rowOff>136525</xdr:rowOff>
    </xdr:from>
    <xdr:to>
      <xdr:col>2</xdr:col>
      <xdr:colOff>831850</xdr:colOff>
      <xdr:row>52</xdr:row>
      <xdr:rowOff>149225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4" name="FiltroMes">
              <a:extLst>
                <a:ext uri="{FF2B5EF4-FFF2-40B4-BE49-F238E27FC236}">
                  <a16:creationId xmlns:a16="http://schemas.microsoft.com/office/drawing/2014/main" id="{A6C0D631-5057-AE14-E48B-27CD77C3DB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troMe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475" y="10918825"/>
              <a:ext cx="2667000" cy="1841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174625</xdr:colOff>
      <xdr:row>44</xdr:row>
      <xdr:rowOff>155575</xdr:rowOff>
    </xdr:from>
    <xdr:to>
      <xdr:col>7</xdr:col>
      <xdr:colOff>454025</xdr:colOff>
      <xdr:row>52</xdr:row>
      <xdr:rowOff>168275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5" name="FiltroProducto">
              <a:extLst>
                <a:ext uri="{FF2B5EF4-FFF2-40B4-BE49-F238E27FC236}">
                  <a16:creationId xmlns:a16="http://schemas.microsoft.com/office/drawing/2014/main" id="{87870B88-5FB9-D9B2-C5CD-71B6C305CB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troProduc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1650" y="10937875"/>
              <a:ext cx="3937000" cy="1841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749300</xdr:colOff>
      <xdr:row>44</xdr:row>
      <xdr:rowOff>146050</xdr:rowOff>
    </xdr:from>
    <xdr:to>
      <xdr:col>11</xdr:col>
      <xdr:colOff>904875</xdr:colOff>
      <xdr:row>52</xdr:row>
      <xdr:rowOff>158750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6" name="FiltroCliente">
              <a:extLst>
                <a:ext uri="{FF2B5EF4-FFF2-40B4-BE49-F238E27FC236}">
                  <a16:creationId xmlns:a16="http://schemas.microsoft.com/office/drawing/2014/main" id="{1CF782C3-CD9C-0AA4-3E02-5E57F19CA0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troClien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73925" y="10928350"/>
              <a:ext cx="3937000" cy="1841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BF258F9-F11A-4FE0-B625-9F542A980177}" autoFormatId="16" applyNumberFormats="0" applyBorderFormats="0" applyFontFormats="0" applyPatternFormats="0" applyAlignmentFormats="0" applyWidthHeightFormats="0">
  <queryTableRefresh nextId="8">
    <queryTableFields count="7">
      <queryTableField id="1" name="ID_Transaccion" tableColumnId="1"/>
      <queryTableField id="2" name="Fecha" tableColumnId="2"/>
      <queryTableField id="3" name="ID_Producto" tableColumnId="3"/>
      <queryTableField id="4" name="ID_Cliente" tableColumnId="4"/>
      <queryTableField id="5" name="Unidades_Kilos" tableColumnId="5"/>
      <queryTableField id="6" name="Total" tableColumnId="6"/>
      <queryTableField id="7" name="ID_Producto_Limpio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5" xr16:uid="{08689544-9679-4355-B675-FFF936BD0ADF}" autoFormatId="16" applyNumberFormats="0" applyBorderFormats="0" applyFontFormats="0" applyPatternFormats="0" applyAlignmentFormats="0" applyWidthHeightFormats="0">
  <queryTableRefresh nextId="7">
    <queryTableFields count="6">
      <queryTableField id="1" name="ID_Transaccion" tableColumnId="1"/>
      <queryTableField id="2" name="Fecha" tableColumnId="2"/>
      <queryTableField id="3" name="ID_Producto" tableColumnId="3"/>
      <queryTableField id="4" name="ID_Cliente" tableColumnId="4"/>
      <queryTableField id="5" name="Unidades_Kilos" tableColumnId="5"/>
      <queryTableField id="6" name="Total" tableColumnId="6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863A2073-A95A-425A-844A-FBC1D812FD11}" sourceName="Mes">
  <extLst>
    <x:ext xmlns:x15="http://schemas.microsoft.com/office/spreadsheetml/2010/11/main" uri="{2F2917AC-EB37-4324-AD4E-5DD8C200BD13}">
      <x15:tableSlicerCache tableId="2" column="2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ducto" xr10:uid="{EA5C0E5E-722B-4DA1-9F99-D5712B77355C}" sourceName="Producto">
  <extLst>
    <x:ext xmlns:x15="http://schemas.microsoft.com/office/spreadsheetml/2010/11/main" uri="{2F2917AC-EB37-4324-AD4E-5DD8C200BD13}">
      <x15:tableSlicerCache tableId="2" column="3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liente" xr10:uid="{F47AB88D-D669-4C2A-85CF-FF3C8DE35C60}" sourceName="Cliente">
  <extLst>
    <x:ext xmlns:x15="http://schemas.microsoft.com/office/spreadsheetml/2010/11/main" uri="{2F2917AC-EB37-4324-AD4E-5DD8C200BD13}">
      <x15:tableSlicerCache tableId="2" column="4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iltroMes" xr10:uid="{D531280A-698F-4F55-88E6-9F07BBD6C252}" cache="SegmentaciónDeDatos_Mes" caption="Mes" rowHeight="257175"/>
  <slicer name="FiltroProducto" xr10:uid="{7744DBEC-06EC-46C6-ADBA-2046115C06A3}" cache="SegmentaciónDeDatos_Producto" caption="Producto" rowHeight="257175"/>
  <slicer name="FiltroCliente" xr10:uid="{87797E80-EFF3-4772-A8F0-FEEB71445BEC}" cache="SegmentaciónDeDatos_Cliente" caption="Cliente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9AC356-7F00-47B4-BF09-0B59669063CE}" name="Datosimportados" displayName="Datosimportados" ref="A1:G51" tableType="queryTable" totalsRowShown="0">
  <autoFilter ref="A1:G51" xr:uid="{4B9AC356-7F00-47B4-BF09-0B59669063CE}"/>
  <tableColumns count="7">
    <tableColumn id="1" xr3:uid="{9A671B9A-152F-40BE-AB2C-5AD5F84314DB}" uniqueName="1" name="ID_Transaccion" queryTableFieldId="1"/>
    <tableColumn id="2" xr3:uid="{154D8B5D-7F12-4225-9E8B-9D5798E972F0}" uniqueName="2" name="Fecha" queryTableFieldId="2" dataDxfId="18"/>
    <tableColumn id="3" xr3:uid="{2E124D94-9822-459C-A0E1-94CD27C5E763}" uniqueName="3" name="ID_Producto" queryTableFieldId="3" dataDxfId="17"/>
    <tableColumn id="4" xr3:uid="{A927FB1C-915A-479E-B9E8-D919DB76B42D}" uniqueName="4" name="ID_Cliente" queryTableFieldId="4"/>
    <tableColumn id="5" xr3:uid="{4C34BD84-9B88-4766-B8B0-CFAA84357877}" uniqueName="5" name="Unidades_Kilos" queryTableFieldId="5"/>
    <tableColumn id="6" xr3:uid="{D77565E9-5558-4E83-9970-E79DC32B8F26}" uniqueName="6" name="Total" queryTableFieldId="6"/>
    <tableColumn id="7" xr3:uid="{006448EC-3DC1-44B1-9E6C-81BBBD955017}" uniqueName="7" name="ID_Producto_Limpio" queryTableFieldId="7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63E0286-CBAC-4EE4-9E41-D393063A0F2A}" name="FactVentas__" displayName="FactVentas__" ref="A1:F51" tableType="queryTable" totalsRowShown="0">
  <autoFilter ref="A1:F51" xr:uid="{063E0286-CBAC-4EE4-9E41-D393063A0F2A}"/>
  <tableColumns count="6">
    <tableColumn id="1" xr3:uid="{62398E01-10FC-4960-B266-21B8BECE4778}" uniqueName="1" name="ID_Transaccion" queryTableFieldId="1"/>
    <tableColumn id="2" xr3:uid="{11459DDD-B51B-42C4-84DA-476B21E00457}" uniqueName="2" name="Fecha" queryTableFieldId="2" dataDxfId="20"/>
    <tableColumn id="3" xr3:uid="{4AD2FAF6-4C76-4B17-BFA5-73134D7F36EC}" uniqueName="3" name="ID_Producto" queryTableFieldId="3" dataDxfId="19"/>
    <tableColumn id="4" xr3:uid="{584A4ACC-A30D-49AF-BB99-D37A346DDC41}" uniqueName="4" name="ID_Cliente" queryTableFieldId="4"/>
    <tableColumn id="5" xr3:uid="{B311FC05-53CD-4A13-8EDA-87F4CD479FAA}" uniqueName="5" name="Unidades_Kilos" queryTableFieldId="5"/>
    <tableColumn id="6" xr3:uid="{7459E41F-CDEE-4743-9C54-A8F8C703BA4D}" uniqueName="6" name="Total" queryTableField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0AD3C3-FE11-47B5-8D87-41966056DA87}" name="DimCalendario" displayName="DimCalendario" ref="A1:F53" totalsRowShown="0" headerRowDxfId="15" dataDxfId="14">
  <autoFilter ref="A1:F53" xr:uid="{840AD3C3-FE11-47B5-8D87-41966056DA87}"/>
  <tableColumns count="6">
    <tableColumn id="1" xr3:uid="{938D85B5-5251-4A23-B93C-D21BABE88BA8}" name="Fecha" dataDxfId="13"/>
    <tableColumn id="2" xr3:uid="{166C49AA-BDF6-45FC-B78B-7BC52AA3D3A8}" name="Año" dataDxfId="12"/>
    <tableColumn id="3" xr3:uid="{D62551E7-1939-4D20-B5C9-3ED3EFEBF457}" name="Mes_Nro" dataDxfId="11"/>
    <tableColumn id="4" xr3:uid="{64AE1AD4-D233-4778-ACA9-3E50679122EA}" name="Mes" dataDxfId="10"/>
    <tableColumn id="5" xr3:uid="{11C9B8E9-DD16-4FAD-BA9B-7E578288819D}" name="Trimestre" dataDxfId="9"/>
    <tableColumn id="6" xr3:uid="{30609FD0-F8BB-43D1-BD26-F94D458DF0AE}" name="Dia" dataDxfId="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785232-DD52-47BF-88BA-13BCD051F4DF}" name="DimClientes" displayName="DimClientes" ref="A1:B6" totalsRowShown="0" headerRowDxfId="7" dataDxfId="6">
  <autoFilter ref="A1:B6" xr:uid="{FF785232-DD52-47BF-88BA-13BCD051F4DF}"/>
  <tableColumns count="2">
    <tableColumn id="1" xr3:uid="{B67010C9-F98D-46AF-A0F9-168B1BCD4872}" name="ID_Cliente" dataDxfId="5"/>
    <tableColumn id="2" xr3:uid="{6E1139DF-C552-4E7C-90A3-FFC5E4CFDD8B}" name="Cliente" dataDxfId="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80B970-F52B-4E49-BAE8-33EE6892E636}" name="DimProductos" displayName="DimProductos" ref="A1:B9" totalsRowShown="0" headerRowDxfId="3" dataDxfId="2">
  <autoFilter ref="A1:B9" xr:uid="{3880B970-F52B-4E49-BAE8-33EE6892E636}"/>
  <tableColumns count="2">
    <tableColumn id="1" xr3:uid="{B5C8143B-9953-465C-9DBB-9C1781935B82}" name="ID_Producto" dataDxfId="1"/>
    <tableColumn id="2" xr3:uid="{CEB6BA0B-B197-49B1-A6F3-80C706FA7265}" name="Producto" dataDxfId="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AEF61D-0653-4487-8AE0-0032BD00F531}" name="TablaDashboard" displayName="TablaDashboard" ref="A60:H110" totalsRowShown="0">
  <autoFilter ref="A60:H110" xr:uid="{26AEF61D-0653-4487-8AE0-0032BD00F531}"/>
  <tableColumns count="8">
    <tableColumn id="1" xr3:uid="{A38FBC24-A040-4F1A-A7A1-F0213315EB10}" name="Fecha"/>
    <tableColumn id="2" xr3:uid="{44C0E28B-39CB-4C2F-A504-9B8389931954}" name="Mes"/>
    <tableColumn id="3" xr3:uid="{45DFB02F-D6DA-42B4-BFBE-D48AF9E81F60}" name="Producto"/>
    <tableColumn id="4" xr3:uid="{D0EA991E-7072-4952-A311-3FD2E7E91BD3}" name="Cliente"/>
    <tableColumn id="5" xr3:uid="{850CCD4E-ABC6-4D46-916E-E1C1C9772F93}" name="Unidades"/>
    <tableColumn id="6" xr3:uid="{016B95B7-1E53-40A9-A722-033B1B80936A}" name="Total"/>
    <tableColumn id="7" xr3:uid="{D62E5B47-928C-48E1-A2BE-5D296C2A200B}" name="Costo Estimado"/>
    <tableColumn id="8" xr3:uid="{3A036B75-AAB0-40EE-829A-23B53EA15038}" name="Margen Estim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6.xml"/><Relationship Id="rId1" Type="http://schemas.openxmlformats.org/officeDocument/2006/relationships/drawing" Target="../drawings/drawing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1788F-2AAE-4674-88D3-8FDA3A610786}">
  <dimension ref="A1:G51"/>
  <sheetViews>
    <sheetView showGridLines="0" workbookViewId="0">
      <selection sqref="A1:G51"/>
    </sheetView>
  </sheetViews>
  <sheetFormatPr baseColWidth="10" defaultRowHeight="15" x14ac:dyDescent="0.25"/>
  <cols>
    <col min="1" max="1" width="16.85546875" bestFit="1" customWidth="1"/>
    <col min="2" max="2" width="9.42578125" bestFit="1" customWidth="1"/>
    <col min="3" max="3" width="14.28515625" bestFit="1" customWidth="1"/>
    <col min="4" max="4" width="12.85546875" bestFit="1" customWidth="1"/>
    <col min="5" max="5" width="17" bestFit="1" customWidth="1"/>
    <col min="6" max="6" width="7.7109375" bestFit="1" customWidth="1"/>
    <col min="7" max="7" width="21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s="1">
        <v>46023</v>
      </c>
      <c r="C2" t="s">
        <v>7</v>
      </c>
      <c r="D2">
        <v>102</v>
      </c>
      <c r="E2">
        <v>2</v>
      </c>
      <c r="F2">
        <v>407865</v>
      </c>
      <c r="G2" t="s">
        <v>7</v>
      </c>
    </row>
    <row r="3" spans="1:7" x14ac:dyDescent="0.25">
      <c r="A3">
        <v>2</v>
      </c>
      <c r="B3" s="1">
        <v>46024</v>
      </c>
      <c r="C3" t="s">
        <v>8</v>
      </c>
      <c r="D3">
        <v>104</v>
      </c>
      <c r="E3">
        <v>9</v>
      </c>
      <c r="F3">
        <v>226080</v>
      </c>
      <c r="G3" t="s">
        <v>8</v>
      </c>
    </row>
    <row r="4" spans="1:7" x14ac:dyDescent="0.25">
      <c r="A4">
        <v>3</v>
      </c>
      <c r="B4" s="1">
        <v>46025</v>
      </c>
      <c r="C4" t="s">
        <v>9</v>
      </c>
      <c r="D4">
        <v>101</v>
      </c>
      <c r="E4">
        <v>9</v>
      </c>
      <c r="F4">
        <v>86657</v>
      </c>
      <c r="G4" t="s">
        <v>9</v>
      </c>
    </row>
    <row r="5" spans="1:7" x14ac:dyDescent="0.25">
      <c r="A5">
        <v>4</v>
      </c>
      <c r="B5" s="1">
        <v>46026</v>
      </c>
      <c r="C5" t="s">
        <v>7</v>
      </c>
      <c r="D5">
        <v>101</v>
      </c>
      <c r="E5">
        <v>11</v>
      </c>
      <c r="F5">
        <v>192881</v>
      </c>
      <c r="G5" t="s">
        <v>7</v>
      </c>
    </row>
    <row r="6" spans="1:7" x14ac:dyDescent="0.25">
      <c r="A6">
        <v>5</v>
      </c>
      <c r="B6" s="1">
        <v>46027</v>
      </c>
      <c r="C6" t="s">
        <v>10</v>
      </c>
      <c r="D6">
        <v>101</v>
      </c>
      <c r="E6">
        <v>7</v>
      </c>
      <c r="F6">
        <v>387744</v>
      </c>
      <c r="G6" t="s">
        <v>10</v>
      </c>
    </row>
    <row r="7" spans="1:7" x14ac:dyDescent="0.25">
      <c r="A7">
        <v>6</v>
      </c>
      <c r="B7" s="1">
        <v>46028</v>
      </c>
      <c r="C7" t="s">
        <v>11</v>
      </c>
      <c r="D7">
        <v>105</v>
      </c>
      <c r="E7">
        <v>2</v>
      </c>
      <c r="F7">
        <v>166789</v>
      </c>
      <c r="G7" t="s">
        <v>11</v>
      </c>
    </row>
    <row r="8" spans="1:7" x14ac:dyDescent="0.25">
      <c r="A8">
        <v>7</v>
      </c>
      <c r="B8" s="1">
        <v>46029</v>
      </c>
      <c r="C8" t="s">
        <v>12</v>
      </c>
      <c r="D8">
        <v>101</v>
      </c>
      <c r="E8">
        <v>1</v>
      </c>
      <c r="F8">
        <v>95071</v>
      </c>
      <c r="G8" t="s">
        <v>12</v>
      </c>
    </row>
    <row r="9" spans="1:7" x14ac:dyDescent="0.25">
      <c r="A9">
        <v>8</v>
      </c>
      <c r="B9" s="1">
        <v>46030</v>
      </c>
      <c r="C9" t="s">
        <v>10</v>
      </c>
      <c r="D9">
        <v>101</v>
      </c>
      <c r="E9">
        <v>4</v>
      </c>
      <c r="F9">
        <v>175472</v>
      </c>
      <c r="G9" t="s">
        <v>10</v>
      </c>
    </row>
    <row r="10" spans="1:7" x14ac:dyDescent="0.25">
      <c r="A10">
        <v>9</v>
      </c>
      <c r="B10" s="1">
        <v>46031</v>
      </c>
      <c r="C10" t="s">
        <v>13</v>
      </c>
      <c r="D10">
        <v>105</v>
      </c>
      <c r="E10">
        <v>2</v>
      </c>
      <c r="F10">
        <v>442023</v>
      </c>
      <c r="G10" t="s">
        <v>12</v>
      </c>
    </row>
    <row r="11" spans="1:7" x14ac:dyDescent="0.25">
      <c r="A11">
        <v>10</v>
      </c>
      <c r="B11" s="1">
        <v>46032</v>
      </c>
      <c r="C11" t="s">
        <v>7</v>
      </c>
      <c r="D11">
        <v>103</v>
      </c>
      <c r="E11">
        <v>3</v>
      </c>
      <c r="F11">
        <v>372255</v>
      </c>
      <c r="G11" t="s">
        <v>7</v>
      </c>
    </row>
    <row r="12" spans="1:7" x14ac:dyDescent="0.25">
      <c r="A12">
        <v>11</v>
      </c>
      <c r="B12" s="1">
        <v>46033</v>
      </c>
      <c r="C12" t="s">
        <v>12</v>
      </c>
      <c r="D12">
        <v>101</v>
      </c>
      <c r="E12">
        <v>7</v>
      </c>
      <c r="F12">
        <v>250137</v>
      </c>
      <c r="G12" t="s">
        <v>12</v>
      </c>
    </row>
    <row r="13" spans="1:7" x14ac:dyDescent="0.25">
      <c r="A13">
        <v>12</v>
      </c>
      <c r="B13" s="1">
        <v>46034</v>
      </c>
      <c r="C13" t="s">
        <v>14</v>
      </c>
      <c r="D13">
        <v>102</v>
      </c>
      <c r="E13">
        <v>2</v>
      </c>
      <c r="F13">
        <v>194193</v>
      </c>
      <c r="G13" t="s">
        <v>14</v>
      </c>
    </row>
    <row r="14" spans="1:7" x14ac:dyDescent="0.25">
      <c r="A14">
        <v>13</v>
      </c>
      <c r="B14" s="1">
        <v>46035</v>
      </c>
      <c r="C14" t="s">
        <v>15</v>
      </c>
      <c r="D14">
        <v>103</v>
      </c>
      <c r="E14">
        <v>10</v>
      </c>
      <c r="F14">
        <v>209071</v>
      </c>
      <c r="G14" t="s">
        <v>15</v>
      </c>
    </row>
    <row r="15" spans="1:7" x14ac:dyDescent="0.25">
      <c r="A15">
        <v>14</v>
      </c>
      <c r="B15" s="1">
        <v>46036</v>
      </c>
      <c r="C15" t="s">
        <v>12</v>
      </c>
      <c r="D15">
        <v>101</v>
      </c>
      <c r="E15">
        <v>6</v>
      </c>
      <c r="F15">
        <v>34258</v>
      </c>
      <c r="G15" t="s">
        <v>12</v>
      </c>
    </row>
    <row r="16" spans="1:7" x14ac:dyDescent="0.25">
      <c r="A16">
        <v>15</v>
      </c>
      <c r="B16" s="1">
        <v>46037</v>
      </c>
      <c r="C16" t="s">
        <v>15</v>
      </c>
      <c r="D16">
        <v>103</v>
      </c>
      <c r="E16">
        <v>7</v>
      </c>
      <c r="F16">
        <v>284022</v>
      </c>
      <c r="G16" t="s">
        <v>15</v>
      </c>
    </row>
    <row r="17" spans="1:7" x14ac:dyDescent="0.25">
      <c r="A17">
        <v>16</v>
      </c>
      <c r="B17" s="1">
        <v>46038</v>
      </c>
      <c r="C17" t="s">
        <v>8</v>
      </c>
      <c r="D17">
        <v>102</v>
      </c>
      <c r="E17">
        <v>12</v>
      </c>
      <c r="F17">
        <v>87654</v>
      </c>
      <c r="G17" t="s">
        <v>8</v>
      </c>
    </row>
    <row r="18" spans="1:7" x14ac:dyDescent="0.25">
      <c r="A18">
        <v>17</v>
      </c>
      <c r="B18" s="1">
        <v>46039</v>
      </c>
      <c r="C18" t="s">
        <v>7</v>
      </c>
      <c r="D18">
        <v>104</v>
      </c>
      <c r="E18">
        <v>10</v>
      </c>
      <c r="F18">
        <v>170346</v>
      </c>
      <c r="G18" t="s">
        <v>7</v>
      </c>
    </row>
    <row r="19" spans="1:7" x14ac:dyDescent="0.25">
      <c r="A19">
        <v>18</v>
      </c>
      <c r="B19" s="1">
        <v>46040</v>
      </c>
      <c r="C19" t="s">
        <v>16</v>
      </c>
      <c r="D19">
        <v>104</v>
      </c>
      <c r="E19">
        <v>7</v>
      </c>
      <c r="F19">
        <v>267284</v>
      </c>
      <c r="G19" t="s">
        <v>9</v>
      </c>
    </row>
    <row r="20" spans="1:7" x14ac:dyDescent="0.25">
      <c r="A20">
        <v>19</v>
      </c>
      <c r="B20" s="1">
        <v>46041</v>
      </c>
      <c r="C20" t="s">
        <v>15</v>
      </c>
      <c r="D20">
        <v>103</v>
      </c>
      <c r="E20">
        <v>2</v>
      </c>
      <c r="F20">
        <v>350167</v>
      </c>
      <c r="G20" t="s">
        <v>15</v>
      </c>
    </row>
    <row r="21" spans="1:7" x14ac:dyDescent="0.25">
      <c r="A21">
        <v>20</v>
      </c>
      <c r="B21" s="1">
        <v>46042</v>
      </c>
      <c r="C21" t="s">
        <v>8</v>
      </c>
      <c r="D21">
        <v>104</v>
      </c>
      <c r="E21">
        <v>5</v>
      </c>
      <c r="F21">
        <v>401589</v>
      </c>
      <c r="G21" t="s">
        <v>8</v>
      </c>
    </row>
    <row r="22" spans="1:7" x14ac:dyDescent="0.25">
      <c r="A22">
        <v>21</v>
      </c>
      <c r="B22" s="1">
        <v>46043</v>
      </c>
      <c r="C22" t="s">
        <v>15</v>
      </c>
      <c r="D22">
        <v>101</v>
      </c>
      <c r="E22">
        <v>4</v>
      </c>
      <c r="F22">
        <v>144586</v>
      </c>
      <c r="G22" t="s">
        <v>15</v>
      </c>
    </row>
    <row r="23" spans="1:7" x14ac:dyDescent="0.25">
      <c r="A23">
        <v>22</v>
      </c>
      <c r="B23" s="1">
        <v>46044</v>
      </c>
      <c r="C23" t="s">
        <v>17</v>
      </c>
      <c r="D23">
        <v>104</v>
      </c>
      <c r="E23">
        <v>1</v>
      </c>
      <c r="F23">
        <v>117953</v>
      </c>
      <c r="G23" t="s">
        <v>14</v>
      </c>
    </row>
    <row r="24" spans="1:7" x14ac:dyDescent="0.25">
      <c r="A24">
        <v>23</v>
      </c>
      <c r="B24" s="1">
        <v>46045</v>
      </c>
      <c r="C24" t="s">
        <v>12</v>
      </c>
      <c r="D24">
        <v>102</v>
      </c>
      <c r="E24">
        <v>4</v>
      </c>
      <c r="F24">
        <v>335952</v>
      </c>
      <c r="G24" t="s">
        <v>12</v>
      </c>
    </row>
    <row r="25" spans="1:7" x14ac:dyDescent="0.25">
      <c r="A25">
        <v>24</v>
      </c>
      <c r="B25" s="1">
        <v>46046</v>
      </c>
      <c r="C25" t="s">
        <v>11</v>
      </c>
      <c r="D25">
        <v>105</v>
      </c>
      <c r="E25">
        <v>10</v>
      </c>
      <c r="F25">
        <v>122680</v>
      </c>
      <c r="G25" t="s">
        <v>11</v>
      </c>
    </row>
    <row r="26" spans="1:7" x14ac:dyDescent="0.25">
      <c r="A26">
        <v>25</v>
      </c>
      <c r="B26" s="1">
        <v>46047</v>
      </c>
      <c r="C26" t="s">
        <v>9</v>
      </c>
      <c r="D26">
        <v>104</v>
      </c>
      <c r="E26">
        <v>1</v>
      </c>
      <c r="F26">
        <v>126358</v>
      </c>
      <c r="G26" t="s">
        <v>9</v>
      </c>
    </row>
    <row r="27" spans="1:7" x14ac:dyDescent="0.25">
      <c r="A27">
        <v>26</v>
      </c>
      <c r="B27" s="1">
        <v>46048</v>
      </c>
      <c r="C27" t="s">
        <v>7</v>
      </c>
      <c r="D27">
        <v>104</v>
      </c>
      <c r="E27">
        <v>11</v>
      </c>
      <c r="F27">
        <v>288973</v>
      </c>
      <c r="G27" t="s">
        <v>7</v>
      </c>
    </row>
    <row r="28" spans="1:7" x14ac:dyDescent="0.25">
      <c r="A28">
        <v>27</v>
      </c>
      <c r="B28" s="1">
        <v>46049</v>
      </c>
      <c r="C28" t="s">
        <v>18</v>
      </c>
      <c r="D28">
        <v>104</v>
      </c>
      <c r="E28">
        <v>5</v>
      </c>
      <c r="F28">
        <v>296799</v>
      </c>
      <c r="G28" t="s">
        <v>7</v>
      </c>
    </row>
    <row r="29" spans="1:7" x14ac:dyDescent="0.25">
      <c r="A29">
        <v>28</v>
      </c>
      <c r="B29" s="1">
        <v>46050</v>
      </c>
      <c r="C29" t="s">
        <v>7</v>
      </c>
      <c r="D29">
        <v>103</v>
      </c>
      <c r="E29">
        <v>2</v>
      </c>
      <c r="F29">
        <v>28871</v>
      </c>
      <c r="G29" t="s">
        <v>7</v>
      </c>
    </row>
    <row r="30" spans="1:7" x14ac:dyDescent="0.25">
      <c r="A30">
        <v>29</v>
      </c>
      <c r="B30" s="1">
        <v>46051</v>
      </c>
      <c r="C30" t="s">
        <v>15</v>
      </c>
      <c r="D30">
        <v>102</v>
      </c>
      <c r="E30">
        <v>12</v>
      </c>
      <c r="F30">
        <v>420138</v>
      </c>
      <c r="G30" t="s">
        <v>15</v>
      </c>
    </row>
    <row r="31" spans="1:7" x14ac:dyDescent="0.25">
      <c r="A31">
        <v>30</v>
      </c>
      <c r="B31" s="1">
        <v>46054</v>
      </c>
      <c r="C31" t="s">
        <v>7</v>
      </c>
      <c r="D31">
        <v>101</v>
      </c>
      <c r="E31">
        <v>11</v>
      </c>
      <c r="F31">
        <v>256202</v>
      </c>
      <c r="G31" t="s">
        <v>7</v>
      </c>
    </row>
    <row r="32" spans="1:7" x14ac:dyDescent="0.25">
      <c r="A32">
        <v>31</v>
      </c>
      <c r="B32" s="1">
        <v>46055</v>
      </c>
      <c r="C32" t="s">
        <v>19</v>
      </c>
      <c r="D32">
        <v>102</v>
      </c>
      <c r="E32">
        <v>2</v>
      </c>
      <c r="F32">
        <v>392600</v>
      </c>
      <c r="G32" t="s">
        <v>11</v>
      </c>
    </row>
    <row r="33" spans="1:7" x14ac:dyDescent="0.25">
      <c r="A33">
        <v>32</v>
      </c>
      <c r="B33" s="1">
        <v>46056</v>
      </c>
      <c r="C33" t="s">
        <v>11</v>
      </c>
      <c r="D33">
        <v>105</v>
      </c>
      <c r="E33">
        <v>7</v>
      </c>
      <c r="F33">
        <v>105113</v>
      </c>
      <c r="G33" t="s">
        <v>11</v>
      </c>
    </row>
    <row r="34" spans="1:7" x14ac:dyDescent="0.25">
      <c r="A34">
        <v>33</v>
      </c>
      <c r="B34" s="1">
        <v>46057</v>
      </c>
      <c r="C34" t="s">
        <v>9</v>
      </c>
      <c r="D34">
        <v>105</v>
      </c>
      <c r="E34">
        <v>1</v>
      </c>
      <c r="F34">
        <v>74050</v>
      </c>
      <c r="G34" t="s">
        <v>9</v>
      </c>
    </row>
    <row r="35" spans="1:7" x14ac:dyDescent="0.25">
      <c r="A35">
        <v>34</v>
      </c>
      <c r="B35" s="1">
        <v>46058</v>
      </c>
      <c r="C35" t="s">
        <v>10</v>
      </c>
      <c r="D35">
        <v>104</v>
      </c>
      <c r="E35">
        <v>7</v>
      </c>
      <c r="F35">
        <v>350123</v>
      </c>
      <c r="G35" t="s">
        <v>10</v>
      </c>
    </row>
    <row r="36" spans="1:7" x14ac:dyDescent="0.25">
      <c r="A36">
        <v>35</v>
      </c>
      <c r="B36" s="1">
        <v>46059</v>
      </c>
      <c r="C36" t="s">
        <v>14</v>
      </c>
      <c r="D36">
        <v>105</v>
      </c>
      <c r="E36">
        <v>9</v>
      </c>
      <c r="F36">
        <v>281246</v>
      </c>
      <c r="G36" t="s">
        <v>14</v>
      </c>
    </row>
    <row r="37" spans="1:7" x14ac:dyDescent="0.25">
      <c r="A37">
        <v>36</v>
      </c>
      <c r="B37" s="1">
        <v>46060</v>
      </c>
      <c r="C37" t="s">
        <v>10</v>
      </c>
      <c r="D37">
        <v>101</v>
      </c>
      <c r="E37">
        <v>7</v>
      </c>
      <c r="F37">
        <v>131205</v>
      </c>
      <c r="G37" t="s">
        <v>10</v>
      </c>
    </row>
    <row r="38" spans="1:7" x14ac:dyDescent="0.25">
      <c r="A38">
        <v>37</v>
      </c>
      <c r="B38" s="1">
        <v>46061</v>
      </c>
      <c r="C38" t="s">
        <v>8</v>
      </c>
      <c r="D38">
        <v>103</v>
      </c>
      <c r="E38">
        <v>4</v>
      </c>
      <c r="F38">
        <v>246296</v>
      </c>
      <c r="G38" t="s">
        <v>8</v>
      </c>
    </row>
    <row r="39" spans="1:7" x14ac:dyDescent="0.25">
      <c r="A39">
        <v>38</v>
      </c>
      <c r="B39" s="1">
        <v>46062</v>
      </c>
      <c r="C39" t="s">
        <v>11</v>
      </c>
      <c r="D39">
        <v>103</v>
      </c>
      <c r="E39">
        <v>4</v>
      </c>
      <c r="F39">
        <v>337884</v>
      </c>
      <c r="G39" t="s">
        <v>11</v>
      </c>
    </row>
    <row r="40" spans="1:7" x14ac:dyDescent="0.25">
      <c r="A40">
        <v>39</v>
      </c>
      <c r="B40" s="1">
        <v>46063</v>
      </c>
      <c r="C40" t="s">
        <v>14</v>
      </c>
      <c r="D40">
        <v>102</v>
      </c>
      <c r="E40">
        <v>3</v>
      </c>
      <c r="F40">
        <v>15166</v>
      </c>
      <c r="G40" t="s">
        <v>14</v>
      </c>
    </row>
    <row r="41" spans="1:7" x14ac:dyDescent="0.25">
      <c r="A41">
        <v>40</v>
      </c>
      <c r="B41" s="1">
        <v>46064</v>
      </c>
      <c r="C41" t="s">
        <v>15</v>
      </c>
      <c r="D41">
        <v>104</v>
      </c>
      <c r="E41">
        <v>12</v>
      </c>
      <c r="F41">
        <v>129699</v>
      </c>
      <c r="G41" t="s">
        <v>15</v>
      </c>
    </row>
    <row r="42" spans="1:7" x14ac:dyDescent="0.25">
      <c r="A42">
        <v>41</v>
      </c>
      <c r="B42" s="1">
        <v>46065</v>
      </c>
      <c r="C42" t="s">
        <v>12</v>
      </c>
      <c r="D42">
        <v>102</v>
      </c>
      <c r="E42">
        <v>1</v>
      </c>
      <c r="F42">
        <v>184990</v>
      </c>
      <c r="G42" t="s">
        <v>12</v>
      </c>
    </row>
    <row r="43" spans="1:7" x14ac:dyDescent="0.25">
      <c r="A43">
        <v>42</v>
      </c>
      <c r="B43" s="1">
        <v>46066</v>
      </c>
      <c r="C43" t="s">
        <v>7</v>
      </c>
      <c r="D43">
        <v>101</v>
      </c>
      <c r="E43">
        <v>5</v>
      </c>
      <c r="F43">
        <v>351837</v>
      </c>
      <c r="G43" t="s">
        <v>7</v>
      </c>
    </row>
    <row r="44" spans="1:7" x14ac:dyDescent="0.25">
      <c r="A44">
        <v>43</v>
      </c>
      <c r="B44" s="1">
        <v>46067</v>
      </c>
      <c r="C44" t="s">
        <v>11</v>
      </c>
      <c r="D44">
        <v>101</v>
      </c>
      <c r="E44">
        <v>10</v>
      </c>
      <c r="F44">
        <v>22157</v>
      </c>
      <c r="G44" t="s">
        <v>11</v>
      </c>
    </row>
    <row r="45" spans="1:7" x14ac:dyDescent="0.25">
      <c r="A45">
        <v>44</v>
      </c>
      <c r="B45" s="1">
        <v>46068</v>
      </c>
      <c r="C45" t="s">
        <v>11</v>
      </c>
      <c r="D45">
        <v>101</v>
      </c>
      <c r="E45">
        <v>7</v>
      </c>
      <c r="F45">
        <v>374661</v>
      </c>
      <c r="G45" t="s">
        <v>11</v>
      </c>
    </row>
    <row r="46" spans="1:7" x14ac:dyDescent="0.25">
      <c r="A46">
        <v>45</v>
      </c>
      <c r="B46" s="1">
        <v>46069</v>
      </c>
      <c r="C46" t="s">
        <v>12</v>
      </c>
      <c r="D46">
        <v>104</v>
      </c>
      <c r="E46">
        <v>12</v>
      </c>
      <c r="F46">
        <v>435925</v>
      </c>
      <c r="G46" t="s">
        <v>12</v>
      </c>
    </row>
    <row r="47" spans="1:7" x14ac:dyDescent="0.25">
      <c r="A47">
        <v>46</v>
      </c>
      <c r="B47" s="1">
        <v>46070</v>
      </c>
      <c r="C47" t="s">
        <v>15</v>
      </c>
      <c r="D47">
        <v>104</v>
      </c>
      <c r="E47">
        <v>7</v>
      </c>
      <c r="F47">
        <v>134187</v>
      </c>
      <c r="G47" t="s">
        <v>15</v>
      </c>
    </row>
    <row r="48" spans="1:7" x14ac:dyDescent="0.25">
      <c r="A48">
        <v>47</v>
      </c>
      <c r="B48" s="1">
        <v>46071</v>
      </c>
      <c r="C48" t="s">
        <v>7</v>
      </c>
      <c r="D48">
        <v>105</v>
      </c>
      <c r="E48">
        <v>3</v>
      </c>
      <c r="F48">
        <v>416770</v>
      </c>
      <c r="G48" t="s">
        <v>7</v>
      </c>
    </row>
    <row r="49" spans="1:7" x14ac:dyDescent="0.25">
      <c r="A49">
        <v>48</v>
      </c>
      <c r="B49" s="1">
        <v>46072</v>
      </c>
      <c r="C49" t="s">
        <v>8</v>
      </c>
      <c r="D49">
        <v>103</v>
      </c>
      <c r="E49">
        <v>7</v>
      </c>
      <c r="F49">
        <v>143367</v>
      </c>
      <c r="G49" t="s">
        <v>8</v>
      </c>
    </row>
    <row r="50" spans="1:7" x14ac:dyDescent="0.25">
      <c r="A50">
        <v>49</v>
      </c>
      <c r="B50" s="1">
        <v>46073</v>
      </c>
      <c r="C50" t="s">
        <v>12</v>
      </c>
      <c r="D50">
        <v>105</v>
      </c>
      <c r="E50">
        <v>11</v>
      </c>
      <c r="F50">
        <v>415946</v>
      </c>
      <c r="G50" t="s">
        <v>12</v>
      </c>
    </row>
    <row r="51" spans="1:7" x14ac:dyDescent="0.25">
      <c r="A51">
        <v>50</v>
      </c>
      <c r="B51" s="1">
        <v>46074</v>
      </c>
      <c r="C51" t="s">
        <v>12</v>
      </c>
      <c r="D51">
        <v>104</v>
      </c>
      <c r="E51">
        <v>12</v>
      </c>
      <c r="F51">
        <v>308719</v>
      </c>
      <c r="G5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9193A-387F-4A27-8FB0-DF9E4042082C}">
  <dimension ref="A1:L18"/>
  <sheetViews>
    <sheetView showGridLines="0" workbookViewId="0">
      <selection sqref="A1:H1"/>
    </sheetView>
  </sheetViews>
  <sheetFormatPr baseColWidth="10" defaultRowHeight="15" x14ac:dyDescent="0.25"/>
  <cols>
    <col min="1" max="1" width="28.5703125" customWidth="1"/>
    <col min="2" max="2" width="5.7109375" customWidth="1"/>
    <col min="3" max="3" width="4.7109375" customWidth="1"/>
    <col min="4" max="4" width="49.5703125" customWidth="1"/>
    <col min="5" max="8" width="16.140625" customWidth="1"/>
    <col min="9" max="9" width="3.42578125" customWidth="1"/>
    <col min="10" max="10" width="32.42578125" customWidth="1"/>
    <col min="11" max="11" width="21" customWidth="1"/>
    <col min="12" max="12" width="49.5703125" customWidth="1"/>
  </cols>
  <sheetData>
    <row r="1" spans="1:12" ht="27.95" customHeight="1" x14ac:dyDescent="0.4">
      <c r="A1" s="43" t="s">
        <v>43</v>
      </c>
      <c r="B1" s="43"/>
      <c r="C1" s="43"/>
      <c r="D1" s="43"/>
      <c r="E1" s="43"/>
      <c r="F1" s="43"/>
      <c r="G1" s="43"/>
      <c r="H1" s="43"/>
      <c r="J1" s="7" t="s">
        <v>116</v>
      </c>
      <c r="K1" s="7" t="s">
        <v>117</v>
      </c>
      <c r="L1" s="7" t="s">
        <v>118</v>
      </c>
    </row>
    <row r="2" spans="1:12" ht="27.95" customHeight="1" x14ac:dyDescent="0.25">
      <c r="A2" s="44" t="s">
        <v>44</v>
      </c>
      <c r="B2" s="44"/>
      <c r="C2" s="44"/>
      <c r="D2" s="44"/>
      <c r="E2" s="44"/>
      <c r="F2" s="44"/>
      <c r="G2" s="44"/>
      <c r="H2" s="44"/>
      <c r="J2" s="9" t="s">
        <v>119</v>
      </c>
      <c r="K2" s="10" t="s">
        <v>120</v>
      </c>
      <c r="L2" s="8" t="s">
        <v>121</v>
      </c>
    </row>
    <row r="3" spans="1:12" x14ac:dyDescent="0.25">
      <c r="J3" s="9" t="s">
        <v>122</v>
      </c>
      <c r="K3" s="10" t="s">
        <v>120</v>
      </c>
      <c r="L3" s="8" t="s">
        <v>123</v>
      </c>
    </row>
    <row r="4" spans="1:12" x14ac:dyDescent="0.25">
      <c r="A4" s="6" t="s">
        <v>45</v>
      </c>
      <c r="B4" s="6"/>
      <c r="D4" s="6" t="s">
        <v>46</v>
      </c>
      <c r="E4" s="6"/>
      <c r="G4" s="6" t="s">
        <v>47</v>
      </c>
      <c r="H4" s="6"/>
      <c r="J4" s="9" t="s">
        <v>124</v>
      </c>
      <c r="K4" s="10" t="s">
        <v>125</v>
      </c>
      <c r="L4" s="8" t="s">
        <v>126</v>
      </c>
    </row>
    <row r="5" spans="1:12" x14ac:dyDescent="0.25">
      <c r="A5" s="5" t="s">
        <v>48</v>
      </c>
      <c r="B5" s="5"/>
      <c r="D5" s="5" t="s">
        <v>49</v>
      </c>
      <c r="E5" s="5"/>
      <c r="G5" s="5" t="s">
        <v>50</v>
      </c>
      <c r="H5" s="5"/>
      <c r="J5" s="9" t="s">
        <v>127</v>
      </c>
      <c r="K5" s="10" t="s">
        <v>128</v>
      </c>
      <c r="L5" s="8" t="s">
        <v>129</v>
      </c>
    </row>
    <row r="6" spans="1:12" ht="30" x14ac:dyDescent="0.25">
      <c r="A6" s="5" t="s">
        <v>51</v>
      </c>
      <c r="B6" s="5"/>
      <c r="D6" s="5" t="s">
        <v>52</v>
      </c>
      <c r="E6" s="5"/>
      <c r="G6" s="5" t="s">
        <v>53</v>
      </c>
      <c r="H6" s="5"/>
      <c r="J6" s="9" t="s">
        <v>130</v>
      </c>
      <c r="K6" s="10" t="s">
        <v>131</v>
      </c>
      <c r="L6" s="8" t="s">
        <v>132</v>
      </c>
    </row>
    <row r="7" spans="1:12" ht="30" x14ac:dyDescent="0.25">
      <c r="A7" s="5" t="s">
        <v>54</v>
      </c>
      <c r="B7" s="5"/>
      <c r="D7" s="5" t="s">
        <v>55</v>
      </c>
      <c r="E7" s="5"/>
      <c r="G7" s="5" t="s">
        <v>28</v>
      </c>
      <c r="H7" s="5"/>
      <c r="J7" s="9" t="s">
        <v>133</v>
      </c>
      <c r="K7" s="10" t="s">
        <v>131</v>
      </c>
      <c r="L7" s="8" t="s">
        <v>134</v>
      </c>
    </row>
    <row r="8" spans="1:12" x14ac:dyDescent="0.25">
      <c r="D8" s="5" t="s">
        <v>56</v>
      </c>
      <c r="E8" s="5"/>
      <c r="J8" s="9" t="s">
        <v>135</v>
      </c>
      <c r="K8" s="10" t="s">
        <v>136</v>
      </c>
      <c r="L8" s="8" t="s">
        <v>137</v>
      </c>
    </row>
    <row r="9" spans="1:12" x14ac:dyDescent="0.25">
      <c r="D9" s="5" t="s">
        <v>4</v>
      </c>
      <c r="E9" s="5"/>
    </row>
    <row r="10" spans="1:12" x14ac:dyDescent="0.25">
      <c r="D10" s="5" t="s">
        <v>5</v>
      </c>
      <c r="E10" s="5"/>
    </row>
    <row r="12" spans="1:12" x14ac:dyDescent="0.25">
      <c r="A12" s="6" t="s">
        <v>57</v>
      </c>
      <c r="B12" s="6"/>
      <c r="D12" s="6" t="s">
        <v>58</v>
      </c>
      <c r="E12" s="6"/>
      <c r="F12" s="6"/>
      <c r="G12" s="6"/>
      <c r="H12" s="6"/>
    </row>
    <row r="13" spans="1:12" x14ac:dyDescent="0.25">
      <c r="A13" s="5" t="s">
        <v>59</v>
      </c>
      <c r="B13" s="5"/>
      <c r="D13" s="5" t="s">
        <v>60</v>
      </c>
      <c r="E13" s="5"/>
      <c r="F13" s="5"/>
      <c r="G13" s="5"/>
      <c r="H13" s="5"/>
    </row>
    <row r="14" spans="1:12" x14ac:dyDescent="0.25">
      <c r="A14" s="5" t="s">
        <v>61</v>
      </c>
      <c r="B14" s="5"/>
      <c r="D14" s="5" t="s">
        <v>62</v>
      </c>
      <c r="E14" s="5"/>
      <c r="F14" s="5"/>
      <c r="G14" s="5"/>
      <c r="H14" s="5"/>
    </row>
    <row r="15" spans="1:12" x14ac:dyDescent="0.25">
      <c r="A15" s="5" t="s">
        <v>34</v>
      </c>
      <c r="B15" s="5"/>
      <c r="D15" s="5" t="s">
        <v>63</v>
      </c>
      <c r="E15" s="5"/>
      <c r="F15" s="5"/>
      <c r="G15" s="5"/>
      <c r="H15" s="5"/>
    </row>
    <row r="16" spans="1:12" x14ac:dyDescent="0.25">
      <c r="D16" s="5" t="s">
        <v>64</v>
      </c>
      <c r="E16" s="5"/>
      <c r="F16" s="5"/>
      <c r="G16" s="5"/>
      <c r="H16" s="5"/>
    </row>
    <row r="18" spans="1:8" ht="33.950000000000003" customHeight="1" x14ac:dyDescent="0.25">
      <c r="A18" s="11" t="s">
        <v>65</v>
      </c>
      <c r="B18" s="11"/>
      <c r="C18" s="11"/>
      <c r="D18" s="11" t="s">
        <v>66</v>
      </c>
      <c r="E18" s="11"/>
      <c r="F18" s="11"/>
      <c r="G18" s="11"/>
      <c r="H18" s="11"/>
    </row>
  </sheetData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E1E4-401E-49A3-8525-B193921AC96A}">
  <dimension ref="A1:B16"/>
  <sheetViews>
    <sheetView showGridLines="0" workbookViewId="0">
      <selection activeCell="H11" sqref="H11"/>
    </sheetView>
  </sheetViews>
  <sheetFormatPr baseColWidth="10" defaultRowHeight="15" x14ac:dyDescent="0.25"/>
  <sheetData>
    <row r="1" spans="1:2" x14ac:dyDescent="0.25">
      <c r="A1" s="28" t="s">
        <v>5</v>
      </c>
      <c r="B1" s="28"/>
    </row>
    <row r="3" spans="1:2" x14ac:dyDescent="0.25">
      <c r="A3" t="s">
        <v>87</v>
      </c>
      <c r="B3">
        <v>235840.22</v>
      </c>
    </row>
    <row r="4" spans="1:2" x14ac:dyDescent="0.25">
      <c r="A4" t="s">
        <v>88</v>
      </c>
      <c r="B4">
        <v>18015.541577981825</v>
      </c>
    </row>
    <row r="5" spans="1:2" x14ac:dyDescent="0.25">
      <c r="A5" t="s">
        <v>89</v>
      </c>
      <c r="B5">
        <v>236188</v>
      </c>
    </row>
    <row r="6" spans="1:2" x14ac:dyDescent="0.25">
      <c r="A6" t="s">
        <v>90</v>
      </c>
      <c r="B6" t="e">
        <v>#N/A</v>
      </c>
    </row>
    <row r="7" spans="1:2" x14ac:dyDescent="0.25">
      <c r="A7" t="s">
        <v>91</v>
      </c>
      <c r="B7">
        <v>127389.11616539143</v>
      </c>
    </row>
    <row r="8" spans="1:2" x14ac:dyDescent="0.25">
      <c r="A8" t="s">
        <v>92</v>
      </c>
      <c r="B8">
        <v>16227986917.399593</v>
      </c>
    </row>
    <row r="9" spans="1:2" x14ac:dyDescent="0.25">
      <c r="A9" t="s">
        <v>93</v>
      </c>
      <c r="B9">
        <v>-1.2378176843650317</v>
      </c>
    </row>
    <row r="10" spans="1:2" x14ac:dyDescent="0.25">
      <c r="A10" t="s">
        <v>94</v>
      </c>
      <c r="B10">
        <v>7.9522246363544508E-3</v>
      </c>
    </row>
    <row r="11" spans="1:2" x14ac:dyDescent="0.25">
      <c r="A11" t="s">
        <v>95</v>
      </c>
      <c r="B11">
        <v>426857</v>
      </c>
    </row>
    <row r="12" spans="1:2" x14ac:dyDescent="0.25">
      <c r="A12" t="s">
        <v>96</v>
      </c>
      <c r="B12">
        <v>15166</v>
      </c>
    </row>
    <row r="13" spans="1:2" x14ac:dyDescent="0.25">
      <c r="A13" t="s">
        <v>97</v>
      </c>
      <c r="B13">
        <v>442023</v>
      </c>
    </row>
    <row r="14" spans="1:2" x14ac:dyDescent="0.25">
      <c r="A14" t="s">
        <v>98</v>
      </c>
      <c r="B14">
        <v>11792011</v>
      </c>
    </row>
    <row r="15" spans="1:2" x14ac:dyDescent="0.25">
      <c r="A15" t="s">
        <v>99</v>
      </c>
      <c r="B15">
        <v>50</v>
      </c>
    </row>
    <row r="16" spans="1:2" ht="15.75" thickBot="1" x14ac:dyDescent="0.3">
      <c r="A16" s="26" t="s">
        <v>138</v>
      </c>
      <c r="B16" s="26">
        <v>36203.586238584488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B829F-0C9C-4720-B13E-27181DD1D5B1}">
  <dimension ref="A1:F51"/>
  <sheetViews>
    <sheetView showGridLines="0" workbookViewId="0"/>
  </sheetViews>
  <sheetFormatPr baseColWidth="10" defaultRowHeight="15" x14ac:dyDescent="0.25"/>
  <cols>
    <col min="1" max="1" width="16.85546875" bestFit="1" customWidth="1"/>
    <col min="2" max="2" width="14.42578125" bestFit="1" customWidth="1"/>
    <col min="3" max="3" width="14.28515625" bestFit="1" customWidth="1"/>
    <col min="4" max="4" width="12.85546875" bestFit="1" customWidth="1"/>
    <col min="5" max="5" width="17" bestFit="1" customWidth="1"/>
    <col min="6" max="6" width="7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s="25">
        <v>46023</v>
      </c>
      <c r="C2" t="s">
        <v>7</v>
      </c>
      <c r="D2">
        <v>102</v>
      </c>
      <c r="E2">
        <v>2</v>
      </c>
      <c r="F2">
        <v>407865</v>
      </c>
    </row>
    <row r="3" spans="1:6" x14ac:dyDescent="0.25">
      <c r="A3">
        <v>2</v>
      </c>
      <c r="B3" s="25">
        <v>46024</v>
      </c>
      <c r="C3" t="s">
        <v>8</v>
      </c>
      <c r="D3">
        <v>104</v>
      </c>
      <c r="E3">
        <v>9</v>
      </c>
      <c r="F3">
        <v>226080</v>
      </c>
    </row>
    <row r="4" spans="1:6" x14ac:dyDescent="0.25">
      <c r="A4">
        <v>3</v>
      </c>
      <c r="B4" s="25">
        <v>46025</v>
      </c>
      <c r="C4" t="s">
        <v>9</v>
      </c>
      <c r="D4">
        <v>101</v>
      </c>
      <c r="E4">
        <v>9</v>
      </c>
      <c r="F4">
        <v>86657</v>
      </c>
    </row>
    <row r="5" spans="1:6" x14ac:dyDescent="0.25">
      <c r="A5">
        <v>4</v>
      </c>
      <c r="B5" s="25">
        <v>46026</v>
      </c>
      <c r="C5" t="s">
        <v>7</v>
      </c>
      <c r="D5">
        <v>101</v>
      </c>
      <c r="E5">
        <v>11</v>
      </c>
      <c r="F5">
        <v>192881</v>
      </c>
    </row>
    <row r="6" spans="1:6" x14ac:dyDescent="0.25">
      <c r="A6">
        <v>5</v>
      </c>
      <c r="B6" s="25">
        <v>46027</v>
      </c>
      <c r="C6" t="s">
        <v>10</v>
      </c>
      <c r="D6">
        <v>101</v>
      </c>
      <c r="E6">
        <v>7</v>
      </c>
      <c r="F6">
        <v>387744</v>
      </c>
    </row>
    <row r="7" spans="1:6" x14ac:dyDescent="0.25">
      <c r="A7">
        <v>6</v>
      </c>
      <c r="B7" s="25">
        <v>46028</v>
      </c>
      <c r="C7" t="s">
        <v>11</v>
      </c>
      <c r="D7">
        <v>105</v>
      </c>
      <c r="E7">
        <v>2</v>
      </c>
      <c r="F7">
        <v>166789</v>
      </c>
    </row>
    <row r="8" spans="1:6" x14ac:dyDescent="0.25">
      <c r="A8">
        <v>7</v>
      </c>
      <c r="B8" s="25">
        <v>46029</v>
      </c>
      <c r="C8" t="s">
        <v>12</v>
      </c>
      <c r="D8">
        <v>101</v>
      </c>
      <c r="E8">
        <v>1</v>
      </c>
      <c r="F8">
        <v>95071</v>
      </c>
    </row>
    <row r="9" spans="1:6" x14ac:dyDescent="0.25">
      <c r="A9">
        <v>8</v>
      </c>
      <c r="B9" s="25">
        <v>46030</v>
      </c>
      <c r="C9" t="s">
        <v>10</v>
      </c>
      <c r="D9">
        <v>101</v>
      </c>
      <c r="E9">
        <v>4</v>
      </c>
      <c r="F9">
        <v>175472</v>
      </c>
    </row>
    <row r="10" spans="1:6" x14ac:dyDescent="0.25">
      <c r="A10">
        <v>9</v>
      </c>
      <c r="B10" s="25">
        <v>46031</v>
      </c>
      <c r="C10" t="s">
        <v>12</v>
      </c>
      <c r="D10">
        <v>105</v>
      </c>
      <c r="E10">
        <v>2</v>
      </c>
      <c r="F10">
        <v>442023</v>
      </c>
    </row>
    <row r="11" spans="1:6" x14ac:dyDescent="0.25">
      <c r="A11">
        <v>10</v>
      </c>
      <c r="B11" s="25">
        <v>46032</v>
      </c>
      <c r="C11" t="s">
        <v>7</v>
      </c>
      <c r="D11">
        <v>103</v>
      </c>
      <c r="E11">
        <v>3</v>
      </c>
      <c r="F11">
        <v>372255</v>
      </c>
    </row>
    <row r="12" spans="1:6" x14ac:dyDescent="0.25">
      <c r="A12">
        <v>11</v>
      </c>
      <c r="B12" s="25">
        <v>46033</v>
      </c>
      <c r="C12" t="s">
        <v>12</v>
      </c>
      <c r="D12">
        <v>101</v>
      </c>
      <c r="E12">
        <v>7</v>
      </c>
      <c r="F12">
        <v>250137</v>
      </c>
    </row>
    <row r="13" spans="1:6" x14ac:dyDescent="0.25">
      <c r="A13">
        <v>12</v>
      </c>
      <c r="B13" s="25">
        <v>46034</v>
      </c>
      <c r="C13" t="s">
        <v>14</v>
      </c>
      <c r="D13">
        <v>102</v>
      </c>
      <c r="E13">
        <v>2</v>
      </c>
      <c r="F13">
        <v>194193</v>
      </c>
    </row>
    <row r="14" spans="1:6" x14ac:dyDescent="0.25">
      <c r="A14">
        <v>13</v>
      </c>
      <c r="B14" s="25">
        <v>46035</v>
      </c>
      <c r="C14" t="s">
        <v>15</v>
      </c>
      <c r="D14">
        <v>103</v>
      </c>
      <c r="E14">
        <v>10</v>
      </c>
      <c r="F14">
        <v>209071</v>
      </c>
    </row>
    <row r="15" spans="1:6" x14ac:dyDescent="0.25">
      <c r="A15">
        <v>14</v>
      </c>
      <c r="B15" s="25">
        <v>46036</v>
      </c>
      <c r="C15" t="s">
        <v>12</v>
      </c>
      <c r="D15">
        <v>101</v>
      </c>
      <c r="E15">
        <v>6</v>
      </c>
      <c r="F15">
        <v>34258</v>
      </c>
    </row>
    <row r="16" spans="1:6" x14ac:dyDescent="0.25">
      <c r="A16">
        <v>15</v>
      </c>
      <c r="B16" s="25">
        <v>46037</v>
      </c>
      <c r="C16" t="s">
        <v>15</v>
      </c>
      <c r="D16">
        <v>103</v>
      </c>
      <c r="E16">
        <v>7</v>
      </c>
      <c r="F16">
        <v>284022</v>
      </c>
    </row>
    <row r="17" spans="1:6" x14ac:dyDescent="0.25">
      <c r="A17">
        <v>16</v>
      </c>
      <c r="B17" s="25">
        <v>46038</v>
      </c>
      <c r="C17" t="s">
        <v>8</v>
      </c>
      <c r="D17">
        <v>102</v>
      </c>
      <c r="E17">
        <v>12</v>
      </c>
      <c r="F17">
        <v>87654</v>
      </c>
    </row>
    <row r="18" spans="1:6" x14ac:dyDescent="0.25">
      <c r="A18">
        <v>17</v>
      </c>
      <c r="B18" s="25">
        <v>46039</v>
      </c>
      <c r="C18" t="s">
        <v>7</v>
      </c>
      <c r="D18">
        <v>104</v>
      </c>
      <c r="E18">
        <v>10</v>
      </c>
      <c r="F18">
        <v>170346</v>
      </c>
    </row>
    <row r="19" spans="1:6" x14ac:dyDescent="0.25">
      <c r="A19">
        <v>18</v>
      </c>
      <c r="B19" s="25">
        <v>46040</v>
      </c>
      <c r="C19" t="s">
        <v>9</v>
      </c>
      <c r="D19">
        <v>104</v>
      </c>
      <c r="E19">
        <v>7</v>
      </c>
      <c r="F19">
        <v>267284</v>
      </c>
    </row>
    <row r="20" spans="1:6" x14ac:dyDescent="0.25">
      <c r="A20">
        <v>19</v>
      </c>
      <c r="B20" s="25">
        <v>46041</v>
      </c>
      <c r="C20" t="s">
        <v>15</v>
      </c>
      <c r="D20">
        <v>103</v>
      </c>
      <c r="E20">
        <v>2</v>
      </c>
      <c r="F20">
        <v>350167</v>
      </c>
    </row>
    <row r="21" spans="1:6" x14ac:dyDescent="0.25">
      <c r="A21">
        <v>20</v>
      </c>
      <c r="B21" s="25">
        <v>46042</v>
      </c>
      <c r="C21" t="s">
        <v>8</v>
      </c>
      <c r="D21">
        <v>104</v>
      </c>
      <c r="E21">
        <v>5</v>
      </c>
      <c r="F21">
        <v>401589</v>
      </c>
    </row>
    <row r="22" spans="1:6" x14ac:dyDescent="0.25">
      <c r="A22">
        <v>21</v>
      </c>
      <c r="B22" s="25">
        <v>46043</v>
      </c>
      <c r="C22" t="s">
        <v>15</v>
      </c>
      <c r="D22">
        <v>101</v>
      </c>
      <c r="E22">
        <v>4</v>
      </c>
      <c r="F22">
        <v>144586</v>
      </c>
    </row>
    <row r="23" spans="1:6" x14ac:dyDescent="0.25">
      <c r="A23">
        <v>22</v>
      </c>
      <c r="B23" s="25">
        <v>46044</v>
      </c>
      <c r="C23" t="s">
        <v>14</v>
      </c>
      <c r="D23">
        <v>104</v>
      </c>
      <c r="E23">
        <v>1</v>
      </c>
      <c r="F23">
        <v>117953</v>
      </c>
    </row>
    <row r="24" spans="1:6" x14ac:dyDescent="0.25">
      <c r="A24">
        <v>23</v>
      </c>
      <c r="B24" s="25">
        <v>46045</v>
      </c>
      <c r="C24" t="s">
        <v>12</v>
      </c>
      <c r="D24">
        <v>102</v>
      </c>
      <c r="E24">
        <v>4</v>
      </c>
      <c r="F24">
        <v>335952</v>
      </c>
    </row>
    <row r="25" spans="1:6" x14ac:dyDescent="0.25">
      <c r="A25">
        <v>24</v>
      </c>
      <c r="B25" s="25">
        <v>46046</v>
      </c>
      <c r="C25" t="s">
        <v>11</v>
      </c>
      <c r="D25">
        <v>105</v>
      </c>
      <c r="E25">
        <v>10</v>
      </c>
      <c r="F25">
        <v>122680</v>
      </c>
    </row>
    <row r="26" spans="1:6" x14ac:dyDescent="0.25">
      <c r="A26">
        <v>25</v>
      </c>
      <c r="B26" s="25">
        <v>46047</v>
      </c>
      <c r="C26" t="s">
        <v>9</v>
      </c>
      <c r="D26">
        <v>104</v>
      </c>
      <c r="E26">
        <v>1</v>
      </c>
      <c r="F26">
        <v>126358</v>
      </c>
    </row>
    <row r="27" spans="1:6" x14ac:dyDescent="0.25">
      <c r="A27">
        <v>26</v>
      </c>
      <c r="B27" s="25">
        <v>46048</v>
      </c>
      <c r="C27" t="s">
        <v>7</v>
      </c>
      <c r="D27">
        <v>104</v>
      </c>
      <c r="E27">
        <v>11</v>
      </c>
      <c r="F27">
        <v>288973</v>
      </c>
    </row>
    <row r="28" spans="1:6" x14ac:dyDescent="0.25">
      <c r="A28">
        <v>27</v>
      </c>
      <c r="B28" s="25">
        <v>46049</v>
      </c>
      <c r="C28" t="s">
        <v>7</v>
      </c>
      <c r="D28">
        <v>104</v>
      </c>
      <c r="E28">
        <v>5</v>
      </c>
      <c r="F28">
        <v>296799</v>
      </c>
    </row>
    <row r="29" spans="1:6" x14ac:dyDescent="0.25">
      <c r="A29">
        <v>28</v>
      </c>
      <c r="B29" s="25">
        <v>46050</v>
      </c>
      <c r="C29" t="s">
        <v>7</v>
      </c>
      <c r="D29">
        <v>103</v>
      </c>
      <c r="E29">
        <v>2</v>
      </c>
      <c r="F29">
        <v>28871</v>
      </c>
    </row>
    <row r="30" spans="1:6" x14ac:dyDescent="0.25">
      <c r="A30">
        <v>29</v>
      </c>
      <c r="B30" s="25">
        <v>46051</v>
      </c>
      <c r="C30" t="s">
        <v>15</v>
      </c>
      <c r="D30">
        <v>102</v>
      </c>
      <c r="E30">
        <v>12</v>
      </c>
      <c r="F30">
        <v>420138</v>
      </c>
    </row>
    <row r="31" spans="1:6" x14ac:dyDescent="0.25">
      <c r="A31">
        <v>30</v>
      </c>
      <c r="B31" s="25">
        <v>46054</v>
      </c>
      <c r="C31" t="s">
        <v>7</v>
      </c>
      <c r="D31">
        <v>101</v>
      </c>
      <c r="E31">
        <v>11</v>
      </c>
      <c r="F31">
        <v>256202</v>
      </c>
    </row>
    <row r="32" spans="1:6" x14ac:dyDescent="0.25">
      <c r="A32">
        <v>31</v>
      </c>
      <c r="B32" s="25">
        <v>46055</v>
      </c>
      <c r="C32" t="s">
        <v>11</v>
      </c>
      <c r="D32">
        <v>102</v>
      </c>
      <c r="E32">
        <v>2</v>
      </c>
      <c r="F32">
        <v>392600</v>
      </c>
    </row>
    <row r="33" spans="1:6" x14ac:dyDescent="0.25">
      <c r="A33">
        <v>32</v>
      </c>
      <c r="B33" s="25">
        <v>46056</v>
      </c>
      <c r="C33" t="s">
        <v>11</v>
      </c>
      <c r="D33">
        <v>105</v>
      </c>
      <c r="E33">
        <v>7</v>
      </c>
      <c r="F33">
        <v>105113</v>
      </c>
    </row>
    <row r="34" spans="1:6" x14ac:dyDescent="0.25">
      <c r="A34">
        <v>33</v>
      </c>
      <c r="B34" s="25">
        <v>46057</v>
      </c>
      <c r="C34" t="s">
        <v>9</v>
      </c>
      <c r="D34">
        <v>105</v>
      </c>
      <c r="E34">
        <v>1</v>
      </c>
      <c r="F34">
        <v>74050</v>
      </c>
    </row>
    <row r="35" spans="1:6" x14ac:dyDescent="0.25">
      <c r="A35">
        <v>34</v>
      </c>
      <c r="B35" s="25">
        <v>46058</v>
      </c>
      <c r="C35" t="s">
        <v>10</v>
      </c>
      <c r="D35">
        <v>104</v>
      </c>
      <c r="E35">
        <v>7</v>
      </c>
      <c r="F35">
        <v>350123</v>
      </c>
    </row>
    <row r="36" spans="1:6" x14ac:dyDescent="0.25">
      <c r="A36">
        <v>35</v>
      </c>
      <c r="B36" s="25">
        <v>46059</v>
      </c>
      <c r="C36" t="s">
        <v>14</v>
      </c>
      <c r="D36">
        <v>105</v>
      </c>
      <c r="E36">
        <v>9</v>
      </c>
      <c r="F36">
        <v>281246</v>
      </c>
    </row>
    <row r="37" spans="1:6" x14ac:dyDescent="0.25">
      <c r="A37">
        <v>36</v>
      </c>
      <c r="B37" s="25">
        <v>46060</v>
      </c>
      <c r="C37" t="s">
        <v>10</v>
      </c>
      <c r="D37">
        <v>101</v>
      </c>
      <c r="E37">
        <v>7</v>
      </c>
      <c r="F37">
        <v>131205</v>
      </c>
    </row>
    <row r="38" spans="1:6" x14ac:dyDescent="0.25">
      <c r="A38">
        <v>37</v>
      </c>
      <c r="B38" s="25">
        <v>46061</v>
      </c>
      <c r="C38" t="s">
        <v>8</v>
      </c>
      <c r="D38">
        <v>103</v>
      </c>
      <c r="E38">
        <v>4</v>
      </c>
      <c r="F38">
        <v>246296</v>
      </c>
    </row>
    <row r="39" spans="1:6" x14ac:dyDescent="0.25">
      <c r="A39">
        <v>38</v>
      </c>
      <c r="B39" s="25">
        <v>46062</v>
      </c>
      <c r="C39" t="s">
        <v>11</v>
      </c>
      <c r="D39">
        <v>103</v>
      </c>
      <c r="E39">
        <v>4</v>
      </c>
      <c r="F39">
        <v>337884</v>
      </c>
    </row>
    <row r="40" spans="1:6" x14ac:dyDescent="0.25">
      <c r="A40">
        <v>39</v>
      </c>
      <c r="B40" s="25">
        <v>46063</v>
      </c>
      <c r="C40" t="s">
        <v>14</v>
      </c>
      <c r="D40">
        <v>102</v>
      </c>
      <c r="E40">
        <v>3</v>
      </c>
      <c r="F40">
        <v>15166</v>
      </c>
    </row>
    <row r="41" spans="1:6" x14ac:dyDescent="0.25">
      <c r="A41">
        <v>40</v>
      </c>
      <c r="B41" s="25">
        <v>46064</v>
      </c>
      <c r="C41" t="s">
        <v>15</v>
      </c>
      <c r="D41">
        <v>104</v>
      </c>
      <c r="E41">
        <v>12</v>
      </c>
      <c r="F41">
        <v>129699</v>
      </c>
    </row>
    <row r="42" spans="1:6" x14ac:dyDescent="0.25">
      <c r="A42">
        <v>41</v>
      </c>
      <c r="B42" s="25">
        <v>46065</v>
      </c>
      <c r="C42" t="s">
        <v>12</v>
      </c>
      <c r="D42">
        <v>102</v>
      </c>
      <c r="E42">
        <v>1</v>
      </c>
      <c r="F42">
        <v>184990</v>
      </c>
    </row>
    <row r="43" spans="1:6" x14ac:dyDescent="0.25">
      <c r="A43">
        <v>42</v>
      </c>
      <c r="B43" s="25">
        <v>46066</v>
      </c>
      <c r="C43" t="s">
        <v>7</v>
      </c>
      <c r="D43">
        <v>101</v>
      </c>
      <c r="E43">
        <v>5</v>
      </c>
      <c r="F43">
        <v>351837</v>
      </c>
    </row>
    <row r="44" spans="1:6" x14ac:dyDescent="0.25">
      <c r="A44">
        <v>43</v>
      </c>
      <c r="B44" s="25">
        <v>46067</v>
      </c>
      <c r="C44" t="s">
        <v>11</v>
      </c>
      <c r="D44">
        <v>101</v>
      </c>
      <c r="E44">
        <v>10</v>
      </c>
      <c r="F44">
        <v>22157</v>
      </c>
    </row>
    <row r="45" spans="1:6" x14ac:dyDescent="0.25">
      <c r="A45">
        <v>44</v>
      </c>
      <c r="B45" s="25">
        <v>46068</v>
      </c>
      <c r="C45" t="s">
        <v>11</v>
      </c>
      <c r="D45">
        <v>101</v>
      </c>
      <c r="E45">
        <v>7</v>
      </c>
      <c r="F45">
        <v>374661</v>
      </c>
    </row>
    <row r="46" spans="1:6" x14ac:dyDescent="0.25">
      <c r="A46">
        <v>45</v>
      </c>
      <c r="B46" s="25">
        <v>46069</v>
      </c>
      <c r="C46" t="s">
        <v>12</v>
      </c>
      <c r="D46">
        <v>104</v>
      </c>
      <c r="E46">
        <v>12</v>
      </c>
      <c r="F46">
        <v>435925</v>
      </c>
    </row>
    <row r="47" spans="1:6" x14ac:dyDescent="0.25">
      <c r="A47">
        <v>46</v>
      </c>
      <c r="B47" s="25">
        <v>46070</v>
      </c>
      <c r="C47" t="s">
        <v>15</v>
      </c>
      <c r="D47">
        <v>104</v>
      </c>
      <c r="E47">
        <v>7</v>
      </c>
      <c r="F47">
        <v>134187</v>
      </c>
    </row>
    <row r="48" spans="1:6" x14ac:dyDescent="0.25">
      <c r="A48">
        <v>47</v>
      </c>
      <c r="B48" s="25">
        <v>46071</v>
      </c>
      <c r="C48" t="s">
        <v>7</v>
      </c>
      <c r="D48">
        <v>105</v>
      </c>
      <c r="E48">
        <v>3</v>
      </c>
      <c r="F48">
        <v>416770</v>
      </c>
    </row>
    <row r="49" spans="1:6" x14ac:dyDescent="0.25">
      <c r="A49">
        <v>48</v>
      </c>
      <c r="B49" s="25">
        <v>46072</v>
      </c>
      <c r="C49" t="s">
        <v>8</v>
      </c>
      <c r="D49">
        <v>103</v>
      </c>
      <c r="E49">
        <v>7</v>
      </c>
      <c r="F49">
        <v>143367</v>
      </c>
    </row>
    <row r="50" spans="1:6" x14ac:dyDescent="0.25">
      <c r="A50">
        <v>49</v>
      </c>
      <c r="B50" s="25">
        <v>46073</v>
      </c>
      <c r="C50" t="s">
        <v>12</v>
      </c>
      <c r="D50">
        <v>105</v>
      </c>
      <c r="E50">
        <v>11</v>
      </c>
      <c r="F50">
        <v>415946</v>
      </c>
    </row>
    <row r="51" spans="1:6" x14ac:dyDescent="0.25">
      <c r="A51">
        <v>50</v>
      </c>
      <c r="B51" s="25">
        <v>46074</v>
      </c>
      <c r="C51" t="s">
        <v>12</v>
      </c>
      <c r="D51">
        <v>104</v>
      </c>
      <c r="E51">
        <v>12</v>
      </c>
      <c r="F51">
        <v>308719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C46A3-17A2-4CCE-A35B-BFD6FDE9CF25}">
  <dimension ref="A1:F53"/>
  <sheetViews>
    <sheetView showGridLines="0" workbookViewId="0">
      <pane ySplit="1" topLeftCell="A2" activePane="bottomLeft" state="frozen"/>
      <selection pane="bottomLeft" activeCell="F34" sqref="F34"/>
    </sheetView>
  </sheetViews>
  <sheetFormatPr baseColWidth="10" defaultRowHeight="15" x14ac:dyDescent="0.25"/>
  <cols>
    <col min="1" max="1" width="11.5703125" style="22" bestFit="1" customWidth="1"/>
    <col min="2" max="2" width="7.140625" style="22" bestFit="1" customWidth="1"/>
    <col min="3" max="3" width="12" style="22" bestFit="1" customWidth="1"/>
    <col min="4" max="4" width="7.7109375" style="24" bestFit="1" customWidth="1"/>
    <col min="5" max="5" width="12.7109375" style="24" bestFit="1" customWidth="1"/>
    <col min="6" max="6" width="6.5703125" style="22" bestFit="1" customWidth="1"/>
  </cols>
  <sheetData>
    <row r="1" spans="1:6" x14ac:dyDescent="0.25">
      <c r="A1" s="21" t="s">
        <v>1</v>
      </c>
      <c r="B1" s="20" t="s">
        <v>20</v>
      </c>
      <c r="C1" s="20" t="s">
        <v>21</v>
      </c>
      <c r="D1" s="23" t="s">
        <v>22</v>
      </c>
      <c r="E1" s="23" t="s">
        <v>23</v>
      </c>
      <c r="F1" s="20" t="s">
        <v>24</v>
      </c>
    </row>
    <row r="2" spans="1:6" x14ac:dyDescent="0.25">
      <c r="A2" s="21">
        <v>46023</v>
      </c>
      <c r="B2" s="20">
        <v>2026</v>
      </c>
      <c r="C2" s="20">
        <v>1</v>
      </c>
      <c r="D2" s="23" t="s">
        <v>25</v>
      </c>
      <c r="E2" s="23" t="s">
        <v>26</v>
      </c>
      <c r="F2" s="20">
        <v>1</v>
      </c>
    </row>
    <row r="3" spans="1:6" x14ac:dyDescent="0.25">
      <c r="A3" s="21">
        <v>46024</v>
      </c>
      <c r="B3" s="20">
        <v>2026</v>
      </c>
      <c r="C3" s="20">
        <v>1</v>
      </c>
      <c r="D3" s="23" t="s">
        <v>25</v>
      </c>
      <c r="E3" s="23" t="s">
        <v>26</v>
      </c>
      <c r="F3" s="20">
        <v>2</v>
      </c>
    </row>
    <row r="4" spans="1:6" x14ac:dyDescent="0.25">
      <c r="A4" s="21">
        <v>46025</v>
      </c>
      <c r="B4" s="20">
        <v>2026</v>
      </c>
      <c r="C4" s="20">
        <v>1</v>
      </c>
      <c r="D4" s="23" t="s">
        <v>25</v>
      </c>
      <c r="E4" s="23" t="s">
        <v>26</v>
      </c>
      <c r="F4" s="20">
        <v>3</v>
      </c>
    </row>
    <row r="5" spans="1:6" x14ac:dyDescent="0.25">
      <c r="A5" s="21">
        <v>46026</v>
      </c>
      <c r="B5" s="20">
        <v>2026</v>
      </c>
      <c r="C5" s="20">
        <v>1</v>
      </c>
      <c r="D5" s="23" t="s">
        <v>25</v>
      </c>
      <c r="E5" s="23" t="s">
        <v>26</v>
      </c>
      <c r="F5" s="20">
        <v>4</v>
      </c>
    </row>
    <row r="6" spans="1:6" x14ac:dyDescent="0.25">
      <c r="A6" s="21">
        <v>46027</v>
      </c>
      <c r="B6" s="20">
        <v>2026</v>
      </c>
      <c r="C6" s="20">
        <v>1</v>
      </c>
      <c r="D6" s="23" t="s">
        <v>25</v>
      </c>
      <c r="E6" s="23" t="s">
        <v>26</v>
      </c>
      <c r="F6" s="20">
        <v>5</v>
      </c>
    </row>
    <row r="7" spans="1:6" x14ac:dyDescent="0.25">
      <c r="A7" s="21">
        <v>46028</v>
      </c>
      <c r="B7" s="20">
        <v>2026</v>
      </c>
      <c r="C7" s="20">
        <v>1</v>
      </c>
      <c r="D7" s="23" t="s">
        <v>25</v>
      </c>
      <c r="E7" s="23" t="s">
        <v>26</v>
      </c>
      <c r="F7" s="20">
        <v>6</v>
      </c>
    </row>
    <row r="8" spans="1:6" x14ac:dyDescent="0.25">
      <c r="A8" s="21">
        <v>46029</v>
      </c>
      <c r="B8" s="20">
        <v>2026</v>
      </c>
      <c r="C8" s="20">
        <v>1</v>
      </c>
      <c r="D8" s="23" t="s">
        <v>25</v>
      </c>
      <c r="E8" s="23" t="s">
        <v>26</v>
      </c>
      <c r="F8" s="20">
        <v>7</v>
      </c>
    </row>
    <row r="9" spans="1:6" x14ac:dyDescent="0.25">
      <c r="A9" s="21">
        <v>46030</v>
      </c>
      <c r="B9" s="20">
        <v>2026</v>
      </c>
      <c r="C9" s="20">
        <v>1</v>
      </c>
      <c r="D9" s="23" t="s">
        <v>25</v>
      </c>
      <c r="E9" s="23" t="s">
        <v>26</v>
      </c>
      <c r="F9" s="20">
        <v>8</v>
      </c>
    </row>
    <row r="10" spans="1:6" x14ac:dyDescent="0.25">
      <c r="A10" s="21">
        <v>46031</v>
      </c>
      <c r="B10" s="20">
        <v>2026</v>
      </c>
      <c r="C10" s="20">
        <v>1</v>
      </c>
      <c r="D10" s="23" t="s">
        <v>25</v>
      </c>
      <c r="E10" s="23" t="s">
        <v>26</v>
      </c>
      <c r="F10" s="20">
        <v>9</v>
      </c>
    </row>
    <row r="11" spans="1:6" x14ac:dyDescent="0.25">
      <c r="A11" s="21">
        <v>46032</v>
      </c>
      <c r="B11" s="20">
        <v>2026</v>
      </c>
      <c r="C11" s="20">
        <v>1</v>
      </c>
      <c r="D11" s="23" t="s">
        <v>25</v>
      </c>
      <c r="E11" s="23" t="s">
        <v>26</v>
      </c>
      <c r="F11" s="20">
        <v>10</v>
      </c>
    </row>
    <row r="12" spans="1:6" x14ac:dyDescent="0.25">
      <c r="A12" s="21">
        <v>46033</v>
      </c>
      <c r="B12" s="20">
        <v>2026</v>
      </c>
      <c r="C12" s="20">
        <v>1</v>
      </c>
      <c r="D12" s="23" t="s">
        <v>25</v>
      </c>
      <c r="E12" s="23" t="s">
        <v>26</v>
      </c>
      <c r="F12" s="20">
        <v>11</v>
      </c>
    </row>
    <row r="13" spans="1:6" x14ac:dyDescent="0.25">
      <c r="A13" s="21">
        <v>46034</v>
      </c>
      <c r="B13" s="20">
        <v>2026</v>
      </c>
      <c r="C13" s="20">
        <v>1</v>
      </c>
      <c r="D13" s="23" t="s">
        <v>25</v>
      </c>
      <c r="E13" s="23" t="s">
        <v>26</v>
      </c>
      <c r="F13" s="20">
        <v>12</v>
      </c>
    </row>
    <row r="14" spans="1:6" x14ac:dyDescent="0.25">
      <c r="A14" s="21">
        <v>46035</v>
      </c>
      <c r="B14" s="20">
        <v>2026</v>
      </c>
      <c r="C14" s="20">
        <v>1</v>
      </c>
      <c r="D14" s="23" t="s">
        <v>25</v>
      </c>
      <c r="E14" s="23" t="s">
        <v>26</v>
      </c>
      <c r="F14" s="20">
        <v>13</v>
      </c>
    </row>
    <row r="15" spans="1:6" x14ac:dyDescent="0.25">
      <c r="A15" s="21">
        <v>46036</v>
      </c>
      <c r="B15" s="20">
        <v>2026</v>
      </c>
      <c r="C15" s="20">
        <v>1</v>
      </c>
      <c r="D15" s="23" t="s">
        <v>25</v>
      </c>
      <c r="E15" s="23" t="s">
        <v>26</v>
      </c>
      <c r="F15" s="20">
        <v>14</v>
      </c>
    </row>
    <row r="16" spans="1:6" x14ac:dyDescent="0.25">
      <c r="A16" s="21">
        <v>46037</v>
      </c>
      <c r="B16" s="20">
        <v>2026</v>
      </c>
      <c r="C16" s="20">
        <v>1</v>
      </c>
      <c r="D16" s="23" t="s">
        <v>25</v>
      </c>
      <c r="E16" s="23" t="s">
        <v>26</v>
      </c>
      <c r="F16" s="20">
        <v>15</v>
      </c>
    </row>
    <row r="17" spans="1:6" x14ac:dyDescent="0.25">
      <c r="A17" s="21">
        <v>46038</v>
      </c>
      <c r="B17" s="20">
        <v>2026</v>
      </c>
      <c r="C17" s="20">
        <v>1</v>
      </c>
      <c r="D17" s="23" t="s">
        <v>25</v>
      </c>
      <c r="E17" s="23" t="s">
        <v>26</v>
      </c>
      <c r="F17" s="20">
        <v>16</v>
      </c>
    </row>
    <row r="18" spans="1:6" x14ac:dyDescent="0.25">
      <c r="A18" s="21">
        <v>46039</v>
      </c>
      <c r="B18" s="20">
        <v>2026</v>
      </c>
      <c r="C18" s="20">
        <v>1</v>
      </c>
      <c r="D18" s="23" t="s">
        <v>25</v>
      </c>
      <c r="E18" s="23" t="s">
        <v>26</v>
      </c>
      <c r="F18" s="20">
        <v>17</v>
      </c>
    </row>
    <row r="19" spans="1:6" x14ac:dyDescent="0.25">
      <c r="A19" s="21">
        <v>46040</v>
      </c>
      <c r="B19" s="20">
        <v>2026</v>
      </c>
      <c r="C19" s="20">
        <v>1</v>
      </c>
      <c r="D19" s="23" t="s">
        <v>25</v>
      </c>
      <c r="E19" s="23" t="s">
        <v>26</v>
      </c>
      <c r="F19" s="20">
        <v>18</v>
      </c>
    </row>
    <row r="20" spans="1:6" x14ac:dyDescent="0.25">
      <c r="A20" s="21">
        <v>46041</v>
      </c>
      <c r="B20" s="20">
        <v>2026</v>
      </c>
      <c r="C20" s="20">
        <v>1</v>
      </c>
      <c r="D20" s="23" t="s">
        <v>25</v>
      </c>
      <c r="E20" s="23" t="s">
        <v>26</v>
      </c>
      <c r="F20" s="20">
        <v>19</v>
      </c>
    </row>
    <row r="21" spans="1:6" x14ac:dyDescent="0.25">
      <c r="A21" s="21">
        <v>46042</v>
      </c>
      <c r="B21" s="20">
        <v>2026</v>
      </c>
      <c r="C21" s="20">
        <v>1</v>
      </c>
      <c r="D21" s="23" t="s">
        <v>25</v>
      </c>
      <c r="E21" s="23" t="s">
        <v>26</v>
      </c>
      <c r="F21" s="20">
        <v>20</v>
      </c>
    </row>
    <row r="22" spans="1:6" x14ac:dyDescent="0.25">
      <c r="A22" s="21">
        <v>46043</v>
      </c>
      <c r="B22" s="20">
        <v>2026</v>
      </c>
      <c r="C22" s="20">
        <v>1</v>
      </c>
      <c r="D22" s="23" t="s">
        <v>25</v>
      </c>
      <c r="E22" s="23" t="s">
        <v>26</v>
      </c>
      <c r="F22" s="20">
        <v>21</v>
      </c>
    </row>
    <row r="23" spans="1:6" x14ac:dyDescent="0.25">
      <c r="A23" s="21">
        <v>46044</v>
      </c>
      <c r="B23" s="20">
        <v>2026</v>
      </c>
      <c r="C23" s="20">
        <v>1</v>
      </c>
      <c r="D23" s="23" t="s">
        <v>25</v>
      </c>
      <c r="E23" s="23" t="s">
        <v>26</v>
      </c>
      <c r="F23" s="20">
        <v>22</v>
      </c>
    </row>
    <row r="24" spans="1:6" x14ac:dyDescent="0.25">
      <c r="A24" s="21">
        <v>46045</v>
      </c>
      <c r="B24" s="20">
        <v>2026</v>
      </c>
      <c r="C24" s="20">
        <v>1</v>
      </c>
      <c r="D24" s="23" t="s">
        <v>25</v>
      </c>
      <c r="E24" s="23" t="s">
        <v>26</v>
      </c>
      <c r="F24" s="20">
        <v>23</v>
      </c>
    </row>
    <row r="25" spans="1:6" x14ac:dyDescent="0.25">
      <c r="A25" s="21">
        <v>46046</v>
      </c>
      <c r="B25" s="20">
        <v>2026</v>
      </c>
      <c r="C25" s="20">
        <v>1</v>
      </c>
      <c r="D25" s="23" t="s">
        <v>25</v>
      </c>
      <c r="E25" s="23" t="s">
        <v>26</v>
      </c>
      <c r="F25" s="20">
        <v>24</v>
      </c>
    </row>
    <row r="26" spans="1:6" x14ac:dyDescent="0.25">
      <c r="A26" s="21">
        <v>46047</v>
      </c>
      <c r="B26" s="20">
        <v>2026</v>
      </c>
      <c r="C26" s="20">
        <v>1</v>
      </c>
      <c r="D26" s="23" t="s">
        <v>25</v>
      </c>
      <c r="E26" s="23" t="s">
        <v>26</v>
      </c>
      <c r="F26" s="20">
        <v>25</v>
      </c>
    </row>
    <row r="27" spans="1:6" x14ac:dyDescent="0.25">
      <c r="A27" s="21">
        <v>46048</v>
      </c>
      <c r="B27" s="20">
        <v>2026</v>
      </c>
      <c r="C27" s="20">
        <v>1</v>
      </c>
      <c r="D27" s="23" t="s">
        <v>25</v>
      </c>
      <c r="E27" s="23" t="s">
        <v>26</v>
      </c>
      <c r="F27" s="20">
        <v>26</v>
      </c>
    </row>
    <row r="28" spans="1:6" x14ac:dyDescent="0.25">
      <c r="A28" s="21">
        <v>46049</v>
      </c>
      <c r="B28" s="20">
        <v>2026</v>
      </c>
      <c r="C28" s="20">
        <v>1</v>
      </c>
      <c r="D28" s="23" t="s">
        <v>25</v>
      </c>
      <c r="E28" s="23" t="s">
        <v>26</v>
      </c>
      <c r="F28" s="20">
        <v>27</v>
      </c>
    </row>
    <row r="29" spans="1:6" x14ac:dyDescent="0.25">
      <c r="A29" s="21">
        <v>46050</v>
      </c>
      <c r="B29" s="20">
        <v>2026</v>
      </c>
      <c r="C29" s="20">
        <v>1</v>
      </c>
      <c r="D29" s="23" t="s">
        <v>25</v>
      </c>
      <c r="E29" s="23" t="s">
        <v>26</v>
      </c>
      <c r="F29" s="20">
        <v>28</v>
      </c>
    </row>
    <row r="30" spans="1:6" x14ac:dyDescent="0.25">
      <c r="A30" s="21">
        <v>46051</v>
      </c>
      <c r="B30" s="20">
        <v>2026</v>
      </c>
      <c r="C30" s="20">
        <v>1</v>
      </c>
      <c r="D30" s="23" t="s">
        <v>25</v>
      </c>
      <c r="E30" s="23" t="s">
        <v>26</v>
      </c>
      <c r="F30" s="20">
        <v>29</v>
      </c>
    </row>
    <row r="31" spans="1:6" x14ac:dyDescent="0.25">
      <c r="A31" s="21">
        <v>46052</v>
      </c>
      <c r="B31" s="20">
        <v>2026</v>
      </c>
      <c r="C31" s="20">
        <v>1</v>
      </c>
      <c r="D31" s="23" t="s">
        <v>25</v>
      </c>
      <c r="E31" s="23" t="s">
        <v>26</v>
      </c>
      <c r="F31" s="20">
        <v>30</v>
      </c>
    </row>
    <row r="32" spans="1:6" x14ac:dyDescent="0.25">
      <c r="A32" s="21">
        <v>46053</v>
      </c>
      <c r="B32" s="20">
        <v>2026</v>
      </c>
      <c r="C32" s="20">
        <v>1</v>
      </c>
      <c r="D32" s="23" t="s">
        <v>25</v>
      </c>
      <c r="E32" s="23" t="s">
        <v>26</v>
      </c>
      <c r="F32" s="20">
        <v>31</v>
      </c>
    </row>
    <row r="33" spans="1:6" x14ac:dyDescent="0.25">
      <c r="A33" s="21">
        <v>46054</v>
      </c>
      <c r="B33" s="20">
        <v>2026</v>
      </c>
      <c r="C33" s="20">
        <v>2</v>
      </c>
      <c r="D33" s="23" t="s">
        <v>27</v>
      </c>
      <c r="E33" s="23" t="s">
        <v>26</v>
      </c>
      <c r="F33" s="20">
        <v>1</v>
      </c>
    </row>
    <row r="34" spans="1:6" x14ac:dyDescent="0.25">
      <c r="A34" s="21">
        <v>46055</v>
      </c>
      <c r="B34" s="20">
        <v>2026</v>
      </c>
      <c r="C34" s="20">
        <v>2</v>
      </c>
      <c r="D34" s="23" t="s">
        <v>27</v>
      </c>
      <c r="E34" s="23" t="s">
        <v>26</v>
      </c>
      <c r="F34" s="20">
        <v>2</v>
      </c>
    </row>
    <row r="35" spans="1:6" x14ac:dyDescent="0.25">
      <c r="A35" s="21">
        <v>46056</v>
      </c>
      <c r="B35" s="20">
        <v>2026</v>
      </c>
      <c r="C35" s="20">
        <v>2</v>
      </c>
      <c r="D35" s="23" t="s">
        <v>27</v>
      </c>
      <c r="E35" s="23" t="s">
        <v>26</v>
      </c>
      <c r="F35" s="20">
        <v>3</v>
      </c>
    </row>
    <row r="36" spans="1:6" x14ac:dyDescent="0.25">
      <c r="A36" s="21">
        <v>46057</v>
      </c>
      <c r="B36" s="20">
        <v>2026</v>
      </c>
      <c r="C36" s="20">
        <v>2</v>
      </c>
      <c r="D36" s="23" t="s">
        <v>27</v>
      </c>
      <c r="E36" s="23" t="s">
        <v>26</v>
      </c>
      <c r="F36" s="20">
        <v>4</v>
      </c>
    </row>
    <row r="37" spans="1:6" x14ac:dyDescent="0.25">
      <c r="A37" s="21">
        <v>46058</v>
      </c>
      <c r="B37" s="20">
        <v>2026</v>
      </c>
      <c r="C37" s="20">
        <v>2</v>
      </c>
      <c r="D37" s="23" t="s">
        <v>27</v>
      </c>
      <c r="E37" s="23" t="s">
        <v>26</v>
      </c>
      <c r="F37" s="20">
        <v>5</v>
      </c>
    </row>
    <row r="38" spans="1:6" x14ac:dyDescent="0.25">
      <c r="A38" s="21">
        <v>46059</v>
      </c>
      <c r="B38" s="20">
        <v>2026</v>
      </c>
      <c r="C38" s="20">
        <v>2</v>
      </c>
      <c r="D38" s="23" t="s">
        <v>27</v>
      </c>
      <c r="E38" s="23" t="s">
        <v>26</v>
      </c>
      <c r="F38" s="20">
        <v>6</v>
      </c>
    </row>
    <row r="39" spans="1:6" x14ac:dyDescent="0.25">
      <c r="A39" s="21">
        <v>46060</v>
      </c>
      <c r="B39" s="20">
        <v>2026</v>
      </c>
      <c r="C39" s="20">
        <v>2</v>
      </c>
      <c r="D39" s="23" t="s">
        <v>27</v>
      </c>
      <c r="E39" s="23" t="s">
        <v>26</v>
      </c>
      <c r="F39" s="20">
        <v>7</v>
      </c>
    </row>
    <row r="40" spans="1:6" x14ac:dyDescent="0.25">
      <c r="A40" s="21">
        <v>46061</v>
      </c>
      <c r="B40" s="20">
        <v>2026</v>
      </c>
      <c r="C40" s="20">
        <v>2</v>
      </c>
      <c r="D40" s="23" t="s">
        <v>27</v>
      </c>
      <c r="E40" s="23" t="s">
        <v>26</v>
      </c>
      <c r="F40" s="20">
        <v>8</v>
      </c>
    </row>
    <row r="41" spans="1:6" x14ac:dyDescent="0.25">
      <c r="A41" s="21">
        <v>46062</v>
      </c>
      <c r="B41" s="20">
        <v>2026</v>
      </c>
      <c r="C41" s="20">
        <v>2</v>
      </c>
      <c r="D41" s="23" t="s">
        <v>27</v>
      </c>
      <c r="E41" s="23" t="s">
        <v>26</v>
      </c>
      <c r="F41" s="20">
        <v>9</v>
      </c>
    </row>
    <row r="42" spans="1:6" x14ac:dyDescent="0.25">
      <c r="A42" s="21">
        <v>46063</v>
      </c>
      <c r="B42" s="20">
        <v>2026</v>
      </c>
      <c r="C42" s="20">
        <v>2</v>
      </c>
      <c r="D42" s="23" t="s">
        <v>27</v>
      </c>
      <c r="E42" s="23" t="s">
        <v>26</v>
      </c>
      <c r="F42" s="20">
        <v>10</v>
      </c>
    </row>
    <row r="43" spans="1:6" x14ac:dyDescent="0.25">
      <c r="A43" s="21">
        <v>46064</v>
      </c>
      <c r="B43" s="20">
        <v>2026</v>
      </c>
      <c r="C43" s="20">
        <v>2</v>
      </c>
      <c r="D43" s="23" t="s">
        <v>27</v>
      </c>
      <c r="E43" s="23" t="s">
        <v>26</v>
      </c>
      <c r="F43" s="20">
        <v>11</v>
      </c>
    </row>
    <row r="44" spans="1:6" x14ac:dyDescent="0.25">
      <c r="A44" s="21">
        <v>46065</v>
      </c>
      <c r="B44" s="20">
        <v>2026</v>
      </c>
      <c r="C44" s="20">
        <v>2</v>
      </c>
      <c r="D44" s="23" t="s">
        <v>27</v>
      </c>
      <c r="E44" s="23" t="s">
        <v>26</v>
      </c>
      <c r="F44" s="20">
        <v>12</v>
      </c>
    </row>
    <row r="45" spans="1:6" x14ac:dyDescent="0.25">
      <c r="A45" s="21">
        <v>46066</v>
      </c>
      <c r="B45" s="20">
        <v>2026</v>
      </c>
      <c r="C45" s="20">
        <v>2</v>
      </c>
      <c r="D45" s="23" t="s">
        <v>27</v>
      </c>
      <c r="E45" s="23" t="s">
        <v>26</v>
      </c>
      <c r="F45" s="20">
        <v>13</v>
      </c>
    </row>
    <row r="46" spans="1:6" x14ac:dyDescent="0.25">
      <c r="A46" s="21">
        <v>46067</v>
      </c>
      <c r="B46" s="20">
        <v>2026</v>
      </c>
      <c r="C46" s="20">
        <v>2</v>
      </c>
      <c r="D46" s="23" t="s">
        <v>27</v>
      </c>
      <c r="E46" s="23" t="s">
        <v>26</v>
      </c>
      <c r="F46" s="20">
        <v>14</v>
      </c>
    </row>
    <row r="47" spans="1:6" x14ac:dyDescent="0.25">
      <c r="A47" s="21">
        <v>46068</v>
      </c>
      <c r="B47" s="20">
        <v>2026</v>
      </c>
      <c r="C47" s="20">
        <v>2</v>
      </c>
      <c r="D47" s="23" t="s">
        <v>27</v>
      </c>
      <c r="E47" s="23" t="s">
        <v>26</v>
      </c>
      <c r="F47" s="20">
        <v>15</v>
      </c>
    </row>
    <row r="48" spans="1:6" x14ac:dyDescent="0.25">
      <c r="A48" s="21">
        <v>46069</v>
      </c>
      <c r="B48" s="20">
        <v>2026</v>
      </c>
      <c r="C48" s="20">
        <v>2</v>
      </c>
      <c r="D48" s="23" t="s">
        <v>27</v>
      </c>
      <c r="E48" s="23" t="s">
        <v>26</v>
      </c>
      <c r="F48" s="20">
        <v>16</v>
      </c>
    </row>
    <row r="49" spans="1:6" x14ac:dyDescent="0.25">
      <c r="A49" s="21">
        <v>46070</v>
      </c>
      <c r="B49" s="20">
        <v>2026</v>
      </c>
      <c r="C49" s="20">
        <v>2</v>
      </c>
      <c r="D49" s="23" t="s">
        <v>27</v>
      </c>
      <c r="E49" s="23" t="s">
        <v>26</v>
      </c>
      <c r="F49" s="20">
        <v>17</v>
      </c>
    </row>
    <row r="50" spans="1:6" x14ac:dyDescent="0.25">
      <c r="A50" s="21">
        <v>46071</v>
      </c>
      <c r="B50" s="20">
        <v>2026</v>
      </c>
      <c r="C50" s="20">
        <v>2</v>
      </c>
      <c r="D50" s="23" t="s">
        <v>27</v>
      </c>
      <c r="E50" s="23" t="s">
        <v>26</v>
      </c>
      <c r="F50" s="20">
        <v>18</v>
      </c>
    </row>
    <row r="51" spans="1:6" x14ac:dyDescent="0.25">
      <c r="A51" s="21">
        <v>46072</v>
      </c>
      <c r="B51" s="20">
        <v>2026</v>
      </c>
      <c r="C51" s="20">
        <v>2</v>
      </c>
      <c r="D51" s="23" t="s">
        <v>27</v>
      </c>
      <c r="E51" s="23" t="s">
        <v>26</v>
      </c>
      <c r="F51" s="20">
        <v>19</v>
      </c>
    </row>
    <row r="52" spans="1:6" x14ac:dyDescent="0.25">
      <c r="A52" s="21">
        <v>46073</v>
      </c>
      <c r="B52" s="20">
        <v>2026</v>
      </c>
      <c r="C52" s="20">
        <v>2</v>
      </c>
      <c r="D52" s="23" t="s">
        <v>27</v>
      </c>
      <c r="E52" s="23" t="s">
        <v>26</v>
      </c>
      <c r="F52" s="20">
        <v>20</v>
      </c>
    </row>
    <row r="53" spans="1:6" x14ac:dyDescent="0.25">
      <c r="A53" s="21">
        <v>46074</v>
      </c>
      <c r="B53" s="20">
        <v>2026</v>
      </c>
      <c r="C53" s="20">
        <v>2</v>
      </c>
      <c r="D53" s="23" t="s">
        <v>27</v>
      </c>
      <c r="E53" s="23" t="s">
        <v>26</v>
      </c>
      <c r="F53" s="20">
        <v>21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3D6F1-4F3F-4C6F-817E-4DFADDE1D0AD}">
  <dimension ref="A1:B6"/>
  <sheetViews>
    <sheetView showGridLines="0" workbookViewId="0">
      <selection activeCell="B6" sqref="B6"/>
    </sheetView>
  </sheetViews>
  <sheetFormatPr baseColWidth="10" defaultRowHeight="15" x14ac:dyDescent="0.25"/>
  <cols>
    <col min="1" max="1" width="13.42578125" bestFit="1" customWidth="1"/>
    <col min="2" max="2" width="11.5703125" style="24" bestFit="1" customWidth="1"/>
  </cols>
  <sheetData>
    <row r="1" spans="1:2" x14ac:dyDescent="0.25">
      <c r="A1" s="19" t="s">
        <v>3</v>
      </c>
      <c r="B1" s="23" t="s">
        <v>28</v>
      </c>
    </row>
    <row r="2" spans="1:2" x14ac:dyDescent="0.25">
      <c r="A2" s="19">
        <v>101</v>
      </c>
      <c r="B2" s="23" t="s">
        <v>29</v>
      </c>
    </row>
    <row r="3" spans="1:2" x14ac:dyDescent="0.25">
      <c r="A3" s="19">
        <v>102</v>
      </c>
      <c r="B3" s="23" t="s">
        <v>30</v>
      </c>
    </row>
    <row r="4" spans="1:2" x14ac:dyDescent="0.25">
      <c r="A4" s="19">
        <v>103</v>
      </c>
      <c r="B4" s="23" t="s">
        <v>31</v>
      </c>
    </row>
    <row r="5" spans="1:2" x14ac:dyDescent="0.25">
      <c r="A5" s="19">
        <v>104</v>
      </c>
      <c r="B5" s="23" t="s">
        <v>32</v>
      </c>
    </row>
    <row r="6" spans="1:2" x14ac:dyDescent="0.25">
      <c r="A6" s="19">
        <v>105</v>
      </c>
      <c r="B6" s="23" t="s">
        <v>33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24907-6561-4C27-ACE5-81EC7797C3B9}">
  <dimension ref="A1:B9"/>
  <sheetViews>
    <sheetView showGridLines="0" workbookViewId="0">
      <selection activeCell="B8" sqref="B8"/>
    </sheetView>
  </sheetViews>
  <sheetFormatPr baseColWidth="10" defaultRowHeight="15" x14ac:dyDescent="0.25"/>
  <cols>
    <col min="1" max="1" width="15.5703125" style="24" bestFit="1" customWidth="1"/>
    <col min="2" max="2" width="13.28515625" style="24" bestFit="1" customWidth="1"/>
  </cols>
  <sheetData>
    <row r="1" spans="1:2" x14ac:dyDescent="0.25">
      <c r="A1" s="23" t="s">
        <v>2</v>
      </c>
      <c r="B1" s="23" t="s">
        <v>34</v>
      </c>
    </row>
    <row r="2" spans="1:2" x14ac:dyDescent="0.25">
      <c r="A2" s="23" t="s">
        <v>14</v>
      </c>
      <c r="B2" s="23" t="s">
        <v>35</v>
      </c>
    </row>
    <row r="3" spans="1:2" x14ac:dyDescent="0.25">
      <c r="A3" s="23" t="s">
        <v>9</v>
      </c>
      <c r="B3" s="23" t="s">
        <v>36</v>
      </c>
    </row>
    <row r="4" spans="1:2" x14ac:dyDescent="0.25">
      <c r="A4" s="23" t="s">
        <v>12</v>
      </c>
      <c r="B4" s="23" t="s">
        <v>37</v>
      </c>
    </row>
    <row r="5" spans="1:2" x14ac:dyDescent="0.25">
      <c r="A5" s="23" t="s">
        <v>10</v>
      </c>
      <c r="B5" s="23" t="s">
        <v>38</v>
      </c>
    </row>
    <row r="6" spans="1:2" x14ac:dyDescent="0.25">
      <c r="A6" s="23" t="s">
        <v>15</v>
      </c>
      <c r="B6" s="23" t="s">
        <v>39</v>
      </c>
    </row>
    <row r="7" spans="1:2" x14ac:dyDescent="0.25">
      <c r="A7" s="23" t="s">
        <v>11</v>
      </c>
      <c r="B7" s="23" t="s">
        <v>40</v>
      </c>
    </row>
    <row r="8" spans="1:2" x14ac:dyDescent="0.25">
      <c r="A8" s="23" t="s">
        <v>8</v>
      </c>
      <c r="B8" s="23" t="s">
        <v>41</v>
      </c>
    </row>
    <row r="9" spans="1:2" x14ac:dyDescent="0.25">
      <c r="A9" s="23" t="s">
        <v>7</v>
      </c>
      <c r="B9" s="23" t="s">
        <v>42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A5F50-A071-4E69-A871-054C46FF0E4B}">
  <dimension ref="A1:C6"/>
  <sheetViews>
    <sheetView showGridLines="0" workbookViewId="0">
      <selection sqref="A1:C1"/>
    </sheetView>
  </sheetViews>
  <sheetFormatPr baseColWidth="10" defaultRowHeight="15" x14ac:dyDescent="0.25"/>
  <cols>
    <col min="1" max="1" width="31.42578125" customWidth="1"/>
    <col min="2" max="2" width="81.85546875" customWidth="1"/>
    <col min="3" max="3" width="49.5703125" customWidth="1"/>
  </cols>
  <sheetData>
    <row r="1" spans="1:3" ht="22.5" x14ac:dyDescent="0.35">
      <c r="A1" s="45" t="s">
        <v>67</v>
      </c>
      <c r="B1" s="45"/>
      <c r="C1" s="45"/>
    </row>
    <row r="2" spans="1:3" x14ac:dyDescent="0.25">
      <c r="A2" s="12" t="s">
        <v>68</v>
      </c>
      <c r="B2" s="12" t="s">
        <v>69</v>
      </c>
      <c r="C2" s="12" t="s">
        <v>70</v>
      </c>
    </row>
    <row r="3" spans="1:3" ht="87.95" customHeight="1" x14ac:dyDescent="0.25">
      <c r="A3" s="9" t="s">
        <v>71</v>
      </c>
      <c r="B3" s="8" t="s">
        <v>72</v>
      </c>
      <c r="C3" s="8" t="s">
        <v>73</v>
      </c>
    </row>
    <row r="4" spans="1:3" ht="87.95" customHeight="1" x14ac:dyDescent="0.25">
      <c r="A4" s="9" t="s">
        <v>74</v>
      </c>
      <c r="B4" s="8" t="s">
        <v>75</v>
      </c>
      <c r="C4" s="8" t="s">
        <v>76</v>
      </c>
    </row>
    <row r="5" spans="1:3" ht="87.95" customHeight="1" x14ac:dyDescent="0.25">
      <c r="A5" s="9" t="s">
        <v>77</v>
      </c>
      <c r="B5" s="8" t="s">
        <v>78</v>
      </c>
      <c r="C5" s="8" t="s">
        <v>79</v>
      </c>
    </row>
    <row r="6" spans="1:3" ht="42" customHeight="1" x14ac:dyDescent="0.25">
      <c r="A6" s="11" t="s">
        <v>80</v>
      </c>
      <c r="B6" s="11" t="s">
        <v>81</v>
      </c>
      <c r="C6" s="11"/>
    </row>
  </sheetData>
  <mergeCells count="1">
    <mergeCell ref="A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C9523-D6E2-4596-A976-07322828B875}">
  <dimension ref="A1:B17"/>
  <sheetViews>
    <sheetView showGridLines="0" workbookViewId="0">
      <selection sqref="A1:B1"/>
    </sheetView>
  </sheetViews>
  <sheetFormatPr baseColWidth="10" defaultRowHeight="15" x14ac:dyDescent="0.25"/>
  <cols>
    <col min="1" max="1" width="42.85546875" customWidth="1"/>
    <col min="2" max="2" width="28.5703125" customWidth="1"/>
  </cols>
  <sheetData>
    <row r="1" spans="1:2" ht="21" x14ac:dyDescent="0.35">
      <c r="A1" s="46" t="s">
        <v>82</v>
      </c>
      <c r="B1" s="46"/>
    </row>
    <row r="2" spans="1:2" x14ac:dyDescent="0.25">
      <c r="A2" t="s">
        <v>83</v>
      </c>
      <c r="B2" t="s">
        <v>84</v>
      </c>
    </row>
    <row r="3" spans="1:2" x14ac:dyDescent="0.25">
      <c r="A3" s="12" t="s">
        <v>85</v>
      </c>
      <c r="B3" s="12" t="s">
        <v>86</v>
      </c>
    </row>
    <row r="4" spans="1:2" x14ac:dyDescent="0.25">
      <c r="A4" s="13" t="s">
        <v>87</v>
      </c>
      <c r="B4" s="39">
        <f>AVERAGE(FactVentas__[Total])</f>
        <v>235840.22</v>
      </c>
    </row>
    <row r="5" spans="1:2" x14ac:dyDescent="0.25">
      <c r="A5" s="13" t="s">
        <v>88</v>
      </c>
      <c r="B5" s="39">
        <f>_xlfn.STDEV.S(FactVentas__[Total])/SQRT(COUNT(FactVentas__[Total]))</f>
        <v>18015.541577981825</v>
      </c>
    </row>
    <row r="6" spans="1:2" x14ac:dyDescent="0.25">
      <c r="A6" s="13" t="s">
        <v>89</v>
      </c>
      <c r="B6" s="39">
        <f>MEDIAN(FactVentas__[Total])</f>
        <v>236188</v>
      </c>
    </row>
    <row r="7" spans="1:2" x14ac:dyDescent="0.25">
      <c r="A7" s="13" t="s">
        <v>90</v>
      </c>
      <c r="B7" s="39" t="str">
        <f>IFERROR(_xlfn.MODE.SNGL(FactVentas__[Total]),"Sin moda")</f>
        <v>Sin moda</v>
      </c>
    </row>
    <row r="8" spans="1:2" x14ac:dyDescent="0.25">
      <c r="A8" s="13" t="s">
        <v>91</v>
      </c>
      <c r="B8" s="39">
        <f>_xlfn.STDEV.S(FactVentas__[Total])</f>
        <v>127389.11616539143</v>
      </c>
    </row>
    <row r="9" spans="1:2" x14ac:dyDescent="0.25">
      <c r="A9" s="13" t="s">
        <v>92</v>
      </c>
      <c r="B9" s="39">
        <f>_xlfn.VAR.S(FactVentas__[Total])</f>
        <v>16227986917.399593</v>
      </c>
    </row>
    <row r="10" spans="1:2" x14ac:dyDescent="0.25">
      <c r="A10" s="13" t="s">
        <v>93</v>
      </c>
      <c r="B10" s="39">
        <f>KURT(FactVentas__[Total])</f>
        <v>-1.2378176843650317</v>
      </c>
    </row>
    <row r="11" spans="1:2" x14ac:dyDescent="0.25">
      <c r="A11" s="13" t="s">
        <v>94</v>
      </c>
      <c r="B11" s="39">
        <f>SKEW(FactVentas__[Total])</f>
        <v>7.9522246363544508E-3</v>
      </c>
    </row>
    <row r="12" spans="1:2" x14ac:dyDescent="0.25">
      <c r="A12" s="13" t="s">
        <v>95</v>
      </c>
      <c r="B12" s="39">
        <f>MAX(FactVentas__[Total])-MIN(FactVentas__[Total])</f>
        <v>426857</v>
      </c>
    </row>
    <row r="13" spans="1:2" x14ac:dyDescent="0.25">
      <c r="A13" s="13" t="s">
        <v>96</v>
      </c>
      <c r="B13" s="39">
        <f>MIN(FactVentas__[Total])</f>
        <v>15166</v>
      </c>
    </row>
    <row r="14" spans="1:2" x14ac:dyDescent="0.25">
      <c r="A14" s="13" t="s">
        <v>97</v>
      </c>
      <c r="B14" s="39">
        <f>MAX(FactVentas__[Total])</f>
        <v>442023</v>
      </c>
    </row>
    <row r="15" spans="1:2" x14ac:dyDescent="0.25">
      <c r="A15" s="13" t="s">
        <v>98</v>
      </c>
      <c r="B15" s="39">
        <f>SUM(FactVentas__[Total])</f>
        <v>11792011</v>
      </c>
    </row>
    <row r="16" spans="1:2" x14ac:dyDescent="0.25">
      <c r="A16" s="13" t="s">
        <v>99</v>
      </c>
      <c r="B16" s="2">
        <f>COUNT(FactVentas__[Total])</f>
        <v>50</v>
      </c>
    </row>
    <row r="17" spans="1:2" x14ac:dyDescent="0.25">
      <c r="A17" s="13" t="s">
        <v>100</v>
      </c>
      <c r="B17" s="39">
        <f>_xlfn.CONFIDENCE.T(0.05,_xlfn.STDEV.S(FactVentas__[Total]),COUNT(FactVentas__[Total]))</f>
        <v>36203.586238584488</v>
      </c>
    </row>
  </sheetData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85CC5-2222-465B-9A80-CBC263FD0D03}">
  <sheetPr>
    <outlinePr summaryBelow="0"/>
  </sheetPr>
  <dimension ref="B1:E14"/>
  <sheetViews>
    <sheetView showGridLines="0" workbookViewId="0"/>
  </sheetViews>
  <sheetFormatPr baseColWidth="10" defaultRowHeight="15" outlineLevelRow="1" outlineLevelCol="1" x14ac:dyDescent="0.25"/>
  <cols>
    <col min="3" max="3" width="11.28515625" bestFit="1" customWidth="1"/>
    <col min="4" max="5" width="13.5703125" bestFit="1" customWidth="1" outlineLevel="1"/>
  </cols>
  <sheetData>
    <row r="1" spans="2:5" ht="15.75" thickBot="1" x14ac:dyDescent="0.3"/>
    <row r="2" spans="2:5" ht="15.75" x14ac:dyDescent="0.25">
      <c r="B2" s="31" t="s">
        <v>146</v>
      </c>
      <c r="C2" s="31"/>
      <c r="D2" s="35"/>
      <c r="E2" s="35"/>
    </row>
    <row r="3" spans="2:5" ht="15.75" collapsed="1" x14ac:dyDescent="0.25">
      <c r="B3" s="30"/>
      <c r="C3" s="30"/>
      <c r="D3" s="36" t="s">
        <v>148</v>
      </c>
      <c r="E3" s="36" t="s">
        <v>144</v>
      </c>
    </row>
    <row r="4" spans="2:5" ht="33.75" hidden="1" outlineLevel="1" x14ac:dyDescent="0.25">
      <c r="B4" s="32"/>
      <c r="C4" s="32"/>
      <c r="E4" s="38" t="s">
        <v>145</v>
      </c>
    </row>
    <row r="5" spans="2:5" x14ac:dyDescent="0.25">
      <c r="B5" s="33" t="s">
        <v>147</v>
      </c>
      <c r="C5" s="33"/>
      <c r="D5" s="27"/>
      <c r="E5" s="27"/>
    </row>
    <row r="6" spans="2:5" outlineLevel="1" x14ac:dyDescent="0.25">
      <c r="B6" s="32"/>
      <c r="C6" s="32" t="s">
        <v>139</v>
      </c>
      <c r="D6" s="4">
        <v>0.65</v>
      </c>
      <c r="E6" s="37">
        <v>0.75</v>
      </c>
    </row>
    <row r="7" spans="2:5" x14ac:dyDescent="0.25">
      <c r="B7" s="33" t="s">
        <v>149</v>
      </c>
      <c r="C7" s="33"/>
      <c r="D7" s="27"/>
      <c r="E7" s="27"/>
    </row>
    <row r="8" spans="2:5" outlineLevel="1" x14ac:dyDescent="0.25">
      <c r="B8" s="32"/>
      <c r="C8" s="32" t="s">
        <v>140</v>
      </c>
      <c r="D8" s="3" t="e">
        <v>#REF!</v>
      </c>
      <c r="E8" s="3" t="e">
        <v>#REF!</v>
      </c>
    </row>
    <row r="9" spans="2:5" outlineLevel="1" x14ac:dyDescent="0.25">
      <c r="B9" s="32"/>
      <c r="C9" s="32" t="s">
        <v>141</v>
      </c>
      <c r="D9" s="3" t="e">
        <v>#REF!</v>
      </c>
      <c r="E9" s="3" t="e">
        <v>#REF!</v>
      </c>
    </row>
    <row r="10" spans="2:5" outlineLevel="1" x14ac:dyDescent="0.25">
      <c r="B10" s="32"/>
      <c r="C10" s="32" t="s">
        <v>142</v>
      </c>
      <c r="D10" s="3" t="e">
        <v>#REF!</v>
      </c>
      <c r="E10" s="3" t="e">
        <v>#REF!</v>
      </c>
    </row>
    <row r="11" spans="2:5" ht="15.75" outlineLevel="1" thickBot="1" x14ac:dyDescent="0.3">
      <c r="B11" s="34"/>
      <c r="C11" s="34" t="s">
        <v>143</v>
      </c>
      <c r="D11" s="29">
        <v>0</v>
      </c>
      <c r="E11" s="29">
        <v>0</v>
      </c>
    </row>
    <row r="12" spans="2:5" x14ac:dyDescent="0.25">
      <c r="B12" t="s">
        <v>150</v>
      </c>
    </row>
    <row r="13" spans="2:5" x14ac:dyDescent="0.25">
      <c r="B13" t="s">
        <v>151</v>
      </c>
    </row>
    <row r="14" spans="2:5" x14ac:dyDescent="0.25">
      <c r="B14" t="s">
        <v>152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2EB5D-9DB2-4788-B416-E03D52FAE2B6}">
  <sheetPr>
    <outlinePr summaryBelow="0"/>
  </sheetPr>
  <dimension ref="B1:F14"/>
  <sheetViews>
    <sheetView showGridLines="0" workbookViewId="0">
      <selection activeCell="D8" sqref="D8"/>
    </sheetView>
  </sheetViews>
  <sheetFormatPr baseColWidth="10" defaultRowHeight="15" outlineLevelRow="1" outlineLevelCol="1" x14ac:dyDescent="0.25"/>
  <cols>
    <col min="3" max="3" width="11.28515625" bestFit="1" customWidth="1"/>
    <col min="4" max="6" width="13.5703125" bestFit="1" customWidth="1" outlineLevel="1"/>
  </cols>
  <sheetData>
    <row r="1" spans="2:6" ht="15.75" thickBot="1" x14ac:dyDescent="0.3"/>
    <row r="2" spans="2:6" ht="15.75" x14ac:dyDescent="0.25">
      <c r="B2" s="31" t="s">
        <v>146</v>
      </c>
      <c r="C2" s="31"/>
      <c r="D2" s="35"/>
      <c r="E2" s="35"/>
      <c r="F2" s="35"/>
    </row>
    <row r="3" spans="2:6" ht="15.75" collapsed="1" x14ac:dyDescent="0.25">
      <c r="B3" s="30"/>
      <c r="C3" s="30"/>
      <c r="D3" s="36" t="s">
        <v>148</v>
      </c>
      <c r="E3" s="36" t="s">
        <v>144</v>
      </c>
      <c r="F3" s="36" t="s">
        <v>109</v>
      </c>
    </row>
    <row r="4" spans="2:6" ht="67.5" hidden="1" outlineLevel="1" x14ac:dyDescent="0.25">
      <c r="B4" s="32"/>
      <c r="C4" s="32"/>
      <c r="E4" s="38" t="s">
        <v>145</v>
      </c>
      <c r="F4" s="38" t="s">
        <v>153</v>
      </c>
    </row>
    <row r="5" spans="2:6" x14ac:dyDescent="0.25">
      <c r="B5" s="33" t="s">
        <v>147</v>
      </c>
      <c r="C5" s="33"/>
      <c r="D5" s="27"/>
      <c r="E5" s="27"/>
      <c r="F5" s="27"/>
    </row>
    <row r="6" spans="2:6" outlineLevel="1" x14ac:dyDescent="0.25">
      <c r="B6" s="32"/>
      <c r="C6" s="32" t="s">
        <v>139</v>
      </c>
      <c r="D6" s="4">
        <v>0.65</v>
      </c>
      <c r="E6" s="37">
        <v>0.75</v>
      </c>
      <c r="F6" s="37">
        <v>0.65</v>
      </c>
    </row>
    <row r="7" spans="2:6" x14ac:dyDescent="0.25">
      <c r="B7" s="33" t="s">
        <v>149</v>
      </c>
      <c r="C7" s="33"/>
      <c r="D7" s="27"/>
      <c r="E7" s="27"/>
      <c r="F7" s="27"/>
    </row>
    <row r="8" spans="2:6" outlineLevel="1" x14ac:dyDescent="0.25">
      <c r="B8" s="32"/>
      <c r="C8" s="32" t="s">
        <v>140</v>
      </c>
      <c r="D8" s="3" t="e">
        <v>#REF!</v>
      </c>
      <c r="E8" s="3" t="e">
        <v>#REF!</v>
      </c>
      <c r="F8" s="3" t="e">
        <v>#REF!</v>
      </c>
    </row>
    <row r="9" spans="2:6" outlineLevel="1" x14ac:dyDescent="0.25">
      <c r="B9" s="32"/>
      <c r="C9" s="32" t="s">
        <v>141</v>
      </c>
      <c r="D9" s="3" t="e">
        <v>#REF!</v>
      </c>
      <c r="E9" s="3" t="e">
        <v>#REF!</v>
      </c>
      <c r="F9" s="3" t="e">
        <v>#REF!</v>
      </c>
    </row>
    <row r="10" spans="2:6" outlineLevel="1" x14ac:dyDescent="0.25">
      <c r="B10" s="32"/>
      <c r="C10" s="32" t="s">
        <v>142</v>
      </c>
      <c r="D10" s="3" t="e">
        <v>#REF!</v>
      </c>
      <c r="E10" s="3" t="e">
        <v>#REF!</v>
      </c>
      <c r="F10" s="3" t="e">
        <v>#REF!</v>
      </c>
    </row>
    <row r="11" spans="2:6" ht="15.75" outlineLevel="1" thickBot="1" x14ac:dyDescent="0.3">
      <c r="B11" s="34"/>
      <c r="C11" s="34" t="s">
        <v>143</v>
      </c>
      <c r="D11" s="29">
        <v>0</v>
      </c>
      <c r="E11" s="29">
        <v>0</v>
      </c>
      <c r="F11" s="29">
        <v>0</v>
      </c>
    </row>
    <row r="12" spans="2:6" x14ac:dyDescent="0.25">
      <c r="B12" t="s">
        <v>150</v>
      </c>
    </row>
    <row r="13" spans="2:6" x14ac:dyDescent="0.25">
      <c r="B13" t="s">
        <v>151</v>
      </c>
    </row>
    <row r="14" spans="2:6" x14ac:dyDescent="0.25">
      <c r="B14" t="s">
        <v>152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DF655-FAA9-4984-8DAB-1958B82B2757}">
  <sheetPr>
    <outlinePr summaryBelow="0"/>
  </sheetPr>
  <dimension ref="B1:G14"/>
  <sheetViews>
    <sheetView showGridLines="0" workbookViewId="0"/>
  </sheetViews>
  <sheetFormatPr baseColWidth="10" defaultRowHeight="15" outlineLevelRow="1" outlineLevelCol="1" x14ac:dyDescent="0.25"/>
  <cols>
    <col min="3" max="3" width="11.28515625" bestFit="1" customWidth="1"/>
    <col min="4" max="7" width="13.5703125" bestFit="1" customWidth="1" outlineLevel="1"/>
  </cols>
  <sheetData>
    <row r="1" spans="2:7" ht="15.75" thickBot="1" x14ac:dyDescent="0.3"/>
    <row r="2" spans="2:7" ht="15.75" x14ac:dyDescent="0.25">
      <c r="B2" s="31" t="s">
        <v>146</v>
      </c>
      <c r="C2" s="31"/>
      <c r="D2" s="35"/>
      <c r="E2" s="35"/>
      <c r="F2" s="35"/>
      <c r="G2" s="35"/>
    </row>
    <row r="3" spans="2:7" ht="15.75" collapsed="1" x14ac:dyDescent="0.25">
      <c r="B3" s="30"/>
      <c r="C3" s="30"/>
      <c r="D3" s="36" t="s">
        <v>148</v>
      </c>
      <c r="E3" s="36" t="s">
        <v>144</v>
      </c>
      <c r="F3" s="36" t="s">
        <v>154</v>
      </c>
      <c r="G3" s="36" t="s">
        <v>155</v>
      </c>
    </row>
    <row r="4" spans="2:7" ht="67.5" hidden="1" outlineLevel="1" x14ac:dyDescent="0.25">
      <c r="B4" s="32"/>
      <c r="C4" s="32"/>
      <c r="E4" s="38" t="s">
        <v>145</v>
      </c>
      <c r="F4" s="38" t="s">
        <v>153</v>
      </c>
      <c r="G4" s="38" t="s">
        <v>153</v>
      </c>
    </row>
    <row r="5" spans="2:7" x14ac:dyDescent="0.25">
      <c r="B5" s="33" t="s">
        <v>147</v>
      </c>
      <c r="C5" s="33"/>
      <c r="D5" s="27"/>
      <c r="E5" s="27"/>
      <c r="F5" s="27"/>
      <c r="G5" s="27"/>
    </row>
    <row r="6" spans="2:7" outlineLevel="1" x14ac:dyDescent="0.25">
      <c r="B6" s="32"/>
      <c r="C6" s="32" t="s">
        <v>139</v>
      </c>
      <c r="D6" s="4">
        <v>0.65</v>
      </c>
      <c r="E6" s="37">
        <v>0.75</v>
      </c>
      <c r="F6" s="37">
        <v>0.65</v>
      </c>
      <c r="G6" s="37">
        <v>0.55000000000000004</v>
      </c>
    </row>
    <row r="7" spans="2:7" x14ac:dyDescent="0.25">
      <c r="B7" s="33" t="s">
        <v>149</v>
      </c>
      <c r="C7" s="33"/>
      <c r="D7" s="27"/>
      <c r="E7" s="27"/>
      <c r="F7" s="27"/>
      <c r="G7" s="27"/>
    </row>
    <row r="8" spans="2:7" outlineLevel="1" x14ac:dyDescent="0.25">
      <c r="B8" s="32"/>
      <c r="C8" s="32" t="s">
        <v>140</v>
      </c>
      <c r="D8" s="3" t="e">
        <v>#REF!</v>
      </c>
      <c r="E8" s="3" t="e">
        <v>#REF!</v>
      </c>
      <c r="F8" s="3" t="e">
        <v>#REF!</v>
      </c>
      <c r="G8" s="3" t="e">
        <v>#REF!</v>
      </c>
    </row>
    <row r="9" spans="2:7" outlineLevel="1" x14ac:dyDescent="0.25">
      <c r="B9" s="32"/>
      <c r="C9" s="32" t="s">
        <v>141</v>
      </c>
      <c r="D9" s="3" t="e">
        <v>#REF!</v>
      </c>
      <c r="E9" s="3" t="e">
        <v>#REF!</v>
      </c>
      <c r="F9" s="3" t="e">
        <v>#REF!</v>
      </c>
      <c r="G9" s="3" t="e">
        <v>#REF!</v>
      </c>
    </row>
    <row r="10" spans="2:7" outlineLevel="1" x14ac:dyDescent="0.25">
      <c r="B10" s="32"/>
      <c r="C10" s="32" t="s">
        <v>142</v>
      </c>
      <c r="D10" s="3" t="e">
        <v>#REF!</v>
      </c>
      <c r="E10" s="3" t="e">
        <v>#REF!</v>
      </c>
      <c r="F10" s="3" t="e">
        <v>#REF!</v>
      </c>
      <c r="G10" s="3" t="e">
        <v>#REF!</v>
      </c>
    </row>
    <row r="11" spans="2:7" ht="15.75" outlineLevel="1" thickBot="1" x14ac:dyDescent="0.3">
      <c r="B11" s="34"/>
      <c r="C11" s="34" t="s">
        <v>143</v>
      </c>
      <c r="D11" s="29">
        <v>0</v>
      </c>
      <c r="E11" s="29">
        <v>0</v>
      </c>
      <c r="F11" s="29">
        <v>0</v>
      </c>
      <c r="G11" s="29">
        <v>0</v>
      </c>
    </row>
    <row r="12" spans="2:7" x14ac:dyDescent="0.25">
      <c r="B12" t="s">
        <v>150</v>
      </c>
    </row>
    <row r="13" spans="2:7" x14ac:dyDescent="0.25">
      <c r="B13" t="s">
        <v>151</v>
      </c>
    </row>
    <row r="14" spans="2:7" x14ac:dyDescent="0.25">
      <c r="B14" t="s">
        <v>152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0A8E8-869F-4FE6-88DB-D0AF65336EAB}">
  <sheetPr>
    <outlinePr summaryBelow="0"/>
  </sheetPr>
  <dimension ref="B1:G14"/>
  <sheetViews>
    <sheetView showGridLines="0" workbookViewId="0"/>
  </sheetViews>
  <sheetFormatPr baseColWidth="10" defaultRowHeight="15" outlineLevelRow="1" outlineLevelCol="1" x14ac:dyDescent="0.25"/>
  <cols>
    <col min="3" max="3" width="11.28515625" bestFit="1" customWidth="1"/>
    <col min="4" max="7" width="13.5703125" bestFit="1" customWidth="1" outlineLevel="1"/>
  </cols>
  <sheetData>
    <row r="1" spans="2:7" ht="15.75" thickBot="1" x14ac:dyDescent="0.3"/>
    <row r="2" spans="2:7" ht="15.75" x14ac:dyDescent="0.25">
      <c r="B2" s="31" t="s">
        <v>146</v>
      </c>
      <c r="C2" s="31"/>
      <c r="D2" s="35"/>
      <c r="E2" s="35"/>
      <c r="F2" s="35"/>
      <c r="G2" s="35"/>
    </row>
    <row r="3" spans="2:7" ht="15.75" collapsed="1" x14ac:dyDescent="0.25">
      <c r="B3" s="30"/>
      <c r="C3" s="30"/>
      <c r="D3" s="36" t="s">
        <v>148</v>
      </c>
      <c r="E3" s="36" t="s">
        <v>144</v>
      </c>
      <c r="F3" s="36" t="s">
        <v>154</v>
      </c>
      <c r="G3" s="36" t="s">
        <v>155</v>
      </c>
    </row>
    <row r="4" spans="2:7" ht="67.5" hidden="1" outlineLevel="1" x14ac:dyDescent="0.25">
      <c r="B4" s="32"/>
      <c r="C4" s="32"/>
      <c r="E4" s="38" t="s">
        <v>145</v>
      </c>
      <c r="F4" s="38" t="s">
        <v>153</v>
      </c>
      <c r="G4" s="38" t="s">
        <v>153</v>
      </c>
    </row>
    <row r="5" spans="2:7" x14ac:dyDescent="0.25">
      <c r="B5" s="33" t="s">
        <v>147</v>
      </c>
      <c r="C5" s="33"/>
      <c r="D5" s="27"/>
      <c r="E5" s="27"/>
      <c r="F5" s="27"/>
      <c r="G5" s="27"/>
    </row>
    <row r="6" spans="2:7" outlineLevel="1" x14ac:dyDescent="0.25">
      <c r="B6" s="32"/>
      <c r="C6" s="32" t="s">
        <v>139</v>
      </c>
      <c r="D6" s="4">
        <v>0.65</v>
      </c>
      <c r="E6" s="37">
        <v>0.75</v>
      </c>
      <c r="F6" s="37">
        <v>0.65</v>
      </c>
      <c r="G6" s="37">
        <v>0.55000000000000004</v>
      </c>
    </row>
    <row r="7" spans="2:7" x14ac:dyDescent="0.25">
      <c r="B7" s="33" t="s">
        <v>149</v>
      </c>
      <c r="C7" s="33"/>
      <c r="D7" s="27"/>
      <c r="E7" s="27"/>
      <c r="F7" s="27"/>
      <c r="G7" s="27"/>
    </row>
    <row r="8" spans="2:7" outlineLevel="1" x14ac:dyDescent="0.25">
      <c r="B8" s="32"/>
      <c r="C8" s="32" t="s">
        <v>140</v>
      </c>
      <c r="D8" s="3" t="e">
        <v>#REF!</v>
      </c>
      <c r="E8" s="3" t="e">
        <v>#REF!</v>
      </c>
      <c r="F8" s="3" t="e">
        <v>#REF!</v>
      </c>
      <c r="G8" s="3" t="e">
        <v>#REF!</v>
      </c>
    </row>
    <row r="9" spans="2:7" outlineLevel="1" x14ac:dyDescent="0.25">
      <c r="B9" s="32"/>
      <c r="C9" s="32" t="s">
        <v>141</v>
      </c>
      <c r="D9" s="3" t="e">
        <v>#REF!</v>
      </c>
      <c r="E9" s="3" t="e">
        <v>#REF!</v>
      </c>
      <c r="F9" s="3" t="e">
        <v>#REF!</v>
      </c>
      <c r="G9" s="3" t="e">
        <v>#REF!</v>
      </c>
    </row>
    <row r="10" spans="2:7" outlineLevel="1" x14ac:dyDescent="0.25">
      <c r="B10" s="32"/>
      <c r="C10" s="32" t="s">
        <v>142</v>
      </c>
      <c r="D10" s="3" t="e">
        <v>#REF!</v>
      </c>
      <c r="E10" s="3" t="e">
        <v>#REF!</v>
      </c>
      <c r="F10" s="3" t="e">
        <v>#REF!</v>
      </c>
      <c r="G10" s="3" t="e">
        <v>#REF!</v>
      </c>
    </row>
    <row r="11" spans="2:7" ht="15.75" outlineLevel="1" thickBot="1" x14ac:dyDescent="0.3">
      <c r="B11" s="34"/>
      <c r="C11" s="34" t="s">
        <v>143</v>
      </c>
      <c r="D11" s="29">
        <v>0</v>
      </c>
      <c r="E11" s="29">
        <v>0</v>
      </c>
      <c r="F11" s="29">
        <v>0</v>
      </c>
      <c r="G11" s="29">
        <v>0</v>
      </c>
    </row>
    <row r="12" spans="2:7" x14ac:dyDescent="0.25">
      <c r="B12" t="s">
        <v>150</v>
      </c>
    </row>
    <row r="13" spans="2:7" x14ac:dyDescent="0.25">
      <c r="B13" t="s">
        <v>151</v>
      </c>
    </row>
    <row r="14" spans="2:7" x14ac:dyDescent="0.25">
      <c r="B14" t="s">
        <v>152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162C5-8E3A-444C-96B4-0293E72B7477}">
  <dimension ref="A1:B13"/>
  <sheetViews>
    <sheetView showGridLines="0" workbookViewId="0">
      <selection activeCell="A2" sqref="A2:B2"/>
    </sheetView>
  </sheetViews>
  <sheetFormatPr baseColWidth="10" defaultRowHeight="15" x14ac:dyDescent="0.25"/>
  <cols>
    <col min="1" max="1" width="41.85546875" customWidth="1"/>
    <col min="2" max="2" width="27.5703125" customWidth="1"/>
  </cols>
  <sheetData>
    <row r="1" spans="1:2" ht="21" x14ac:dyDescent="0.35">
      <c r="A1" s="46" t="s">
        <v>101</v>
      </c>
      <c r="B1" s="46"/>
    </row>
    <row r="2" spans="1:2" x14ac:dyDescent="0.25">
      <c r="A2" s="47" t="s">
        <v>102</v>
      </c>
      <c r="B2" s="47"/>
    </row>
    <row r="3" spans="1:2" x14ac:dyDescent="0.25">
      <c r="A3" s="12" t="s">
        <v>103</v>
      </c>
      <c r="B3" s="12" t="s">
        <v>86</v>
      </c>
    </row>
    <row r="4" spans="1:2" x14ac:dyDescent="0.25">
      <c r="A4" s="13" t="s">
        <v>104</v>
      </c>
      <c r="B4" s="14">
        <v>0.65</v>
      </c>
    </row>
    <row r="5" spans="1:2" x14ac:dyDescent="0.25">
      <c r="A5" s="13" t="s">
        <v>71</v>
      </c>
      <c r="B5" s="39">
        <f>SUM(FactVentas__[Total])</f>
        <v>11792011</v>
      </c>
    </row>
    <row r="6" spans="1:2" x14ac:dyDescent="0.25">
      <c r="A6" s="13" t="s">
        <v>105</v>
      </c>
      <c r="B6" s="39">
        <f>B5*B4</f>
        <v>7664807.1500000004</v>
      </c>
    </row>
    <row r="7" spans="1:2" x14ac:dyDescent="0.25">
      <c r="A7" s="13" t="s">
        <v>74</v>
      </c>
      <c r="B7" s="39">
        <f>B5-B6</f>
        <v>4127203.8499999996</v>
      </c>
    </row>
    <row r="8" spans="1:2" x14ac:dyDescent="0.25">
      <c r="A8" s="13" t="s">
        <v>77</v>
      </c>
      <c r="B8" s="4">
        <f>IFERROR(B7/B5,0)</f>
        <v>0.35</v>
      </c>
    </row>
    <row r="10" spans="1:2" x14ac:dyDescent="0.25">
      <c r="A10" s="12" t="s">
        <v>106</v>
      </c>
      <c r="B10" s="12" t="s">
        <v>107</v>
      </c>
    </row>
    <row r="11" spans="1:2" x14ac:dyDescent="0.25">
      <c r="A11" s="5" t="s">
        <v>108</v>
      </c>
      <c r="B11" s="15">
        <v>0.75</v>
      </c>
    </row>
    <row r="12" spans="1:2" x14ac:dyDescent="0.25">
      <c r="A12" s="5" t="s">
        <v>109</v>
      </c>
      <c r="B12" s="15">
        <v>0.65</v>
      </c>
    </row>
    <row r="13" spans="1:2" x14ac:dyDescent="0.25">
      <c r="A13" s="5" t="s">
        <v>110</v>
      </c>
      <c r="B13" s="15">
        <v>0.55000000000000004</v>
      </c>
    </row>
  </sheetData>
  <scenarios current="1" show="2" sqref="B5:B8">
    <scenario name="Pesimista 75%" locked="1" count="1" user="agustin cantalupo" comment="Creado por agustin cantalupo el 29/9/2026">
      <inputCells r="B4" val="0,75" numFmtId="166"/>
    </scenario>
    <scenario name="Base 65%" locked="1" count="1" user="agustin cantalupo" comment="Creado por agustin cantalupo el 30/9/2026_x000a_Modificado por agustin cantalupo el 30/9/2026">
      <inputCells r="B4" val="0,65" numFmtId="166"/>
    </scenario>
    <scenario name="Optimista 55%" locked="1" count="1" user="agustin cantalupo" comment="Creado por agustin cantalupo el 30/9/2026_x000a_Modificado por agustin cantalupo el 30/9/2026">
      <inputCells r="B4" val="0,55" numFmtId="166"/>
    </scenario>
  </scenarios>
  <mergeCells count="2">
    <mergeCell ref="A1:B1"/>
    <mergeCell ref="A2:B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978C0-3E98-482D-884F-291C9C16111A}">
  <dimension ref="A1:E8"/>
  <sheetViews>
    <sheetView showGridLines="0" workbookViewId="0">
      <selection sqref="A1:E1"/>
    </sheetView>
  </sheetViews>
  <sheetFormatPr baseColWidth="10" defaultRowHeight="15" x14ac:dyDescent="0.25"/>
  <cols>
    <col min="1" max="1" width="43.85546875" customWidth="1"/>
    <col min="2" max="5" width="27.5703125" customWidth="1"/>
  </cols>
  <sheetData>
    <row r="1" spans="1:5" ht="22.5" x14ac:dyDescent="0.35">
      <c r="A1" s="45" t="s">
        <v>111</v>
      </c>
      <c r="B1" s="45"/>
      <c r="C1" s="45"/>
      <c r="D1" s="45"/>
      <c r="E1" s="45"/>
    </row>
    <row r="2" spans="1:5" x14ac:dyDescent="0.25">
      <c r="A2" s="12" t="s">
        <v>112</v>
      </c>
      <c r="B2" s="12" t="s">
        <v>113</v>
      </c>
      <c r="C2" s="12" t="s">
        <v>108</v>
      </c>
      <c r="D2" s="12" t="s">
        <v>109</v>
      </c>
      <c r="E2" s="12" t="s">
        <v>110</v>
      </c>
    </row>
    <row r="3" spans="1:5" x14ac:dyDescent="0.25">
      <c r="A3" s="13" t="s">
        <v>107</v>
      </c>
      <c r="B3" s="4">
        <v>0.65</v>
      </c>
      <c r="C3" s="16">
        <v>0.75</v>
      </c>
      <c r="D3" s="17">
        <v>0.65</v>
      </c>
      <c r="E3" s="18">
        <v>0.55000000000000004</v>
      </c>
    </row>
    <row r="4" spans="1:5" x14ac:dyDescent="0.25">
      <c r="A4" s="13" t="s">
        <v>71</v>
      </c>
      <c r="B4" s="39">
        <f>SUM(FactVentas__[Total])</f>
        <v>11792011</v>
      </c>
      <c r="C4" s="40">
        <f>SUM(FactVentas__[Total])</f>
        <v>11792011</v>
      </c>
      <c r="D4" s="41">
        <f>SUM(FactVentas__[Total])</f>
        <v>11792011</v>
      </c>
      <c r="E4" s="42">
        <f>SUM(FactVentas__[Total])</f>
        <v>11792011</v>
      </c>
    </row>
    <row r="5" spans="1:5" x14ac:dyDescent="0.25">
      <c r="A5" s="13" t="s">
        <v>105</v>
      </c>
      <c r="B5" s="39">
        <f>B4*B3</f>
        <v>7664807.1500000004</v>
      </c>
      <c r="C5" s="40">
        <f>C4*C3</f>
        <v>8844008.25</v>
      </c>
      <c r="D5" s="41">
        <f>D4*D3</f>
        <v>7664807.1500000004</v>
      </c>
      <c r="E5" s="42">
        <f>E4*E3</f>
        <v>6485606.0500000007</v>
      </c>
    </row>
    <row r="6" spans="1:5" x14ac:dyDescent="0.25">
      <c r="A6" s="13" t="s">
        <v>74</v>
      </c>
      <c r="B6" s="39">
        <f>B4-B5</f>
        <v>4127203.8499999996</v>
      </c>
      <c r="C6" s="40">
        <f>C4-C5</f>
        <v>2948002.75</v>
      </c>
      <c r="D6" s="41">
        <f>D4-D5</f>
        <v>4127203.8499999996</v>
      </c>
      <c r="E6" s="42">
        <f>E4-E5</f>
        <v>5306404.9499999993</v>
      </c>
    </row>
    <row r="7" spans="1:5" x14ac:dyDescent="0.25">
      <c r="A7" s="13" t="s">
        <v>77</v>
      </c>
      <c r="B7" s="4">
        <f>IFERROR(B6/B4,0)</f>
        <v>0.35</v>
      </c>
      <c r="C7" s="16">
        <f>IFERROR(C6/C4,0)</f>
        <v>0.25</v>
      </c>
      <c r="D7" s="17">
        <f>IFERROR(D6/D4,0)</f>
        <v>0.35</v>
      </c>
      <c r="E7" s="18">
        <f>IFERROR(E6/E4,0)</f>
        <v>0.44999999999999996</v>
      </c>
    </row>
    <row r="8" spans="1:5" ht="42" customHeight="1" x14ac:dyDescent="0.25">
      <c r="A8" s="11" t="s">
        <v>114</v>
      </c>
      <c r="B8" s="11" t="s">
        <v>115</v>
      </c>
      <c r="C8" s="11"/>
      <c r="D8" s="11"/>
      <c r="E8" s="11"/>
    </row>
  </sheetData>
  <mergeCells count="1">
    <mergeCell ref="A1:E1"/>
  </mergeCells>
  <conditionalFormatting sqref="B7:E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89C32-7937-40F3-8C35-95829293FD1A}">
  <dimension ref="A1:N110"/>
  <sheetViews>
    <sheetView showGridLines="0" tabSelected="1" workbookViewId="0">
      <selection activeCell="H55" sqref="H55"/>
    </sheetView>
  </sheetViews>
  <sheetFormatPr baseColWidth="10" defaultRowHeight="15" x14ac:dyDescent="0.25"/>
  <cols>
    <col min="1" max="1" width="15.5703125" customWidth="1"/>
    <col min="2" max="7" width="13.7109375" customWidth="1"/>
    <col min="8" max="8" width="15.5703125" customWidth="1"/>
    <col min="9" max="14" width="13.7109375" customWidth="1"/>
  </cols>
  <sheetData>
    <row r="1" spans="1:14" ht="27" customHeight="1" x14ac:dyDescent="0.25">
      <c r="A1" s="50" t="s">
        <v>156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</row>
    <row r="2" spans="1:14" ht="27" customHeigh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spans="1:14" ht="18" customHeight="1" x14ac:dyDescent="0.25">
      <c r="A3" s="51" t="s">
        <v>157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18" customHeight="1" x14ac:dyDescent="0.25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</row>
    <row r="5" spans="1:14" ht="18" customHeight="1" x14ac:dyDescent="0.25">
      <c r="A5" s="60" t="s">
        <v>158</v>
      </c>
      <c r="B5" s="60"/>
      <c r="C5" s="60"/>
      <c r="D5" s="48"/>
      <c r="E5" s="60" t="s">
        <v>209</v>
      </c>
      <c r="F5" s="60"/>
      <c r="G5" s="60"/>
      <c r="H5" s="48"/>
      <c r="I5" s="60" t="s">
        <v>210</v>
      </c>
      <c r="J5" s="60"/>
      <c r="K5" s="60"/>
      <c r="L5" s="48"/>
      <c r="M5" s="60" t="s">
        <v>211</v>
      </c>
      <c r="N5" s="60"/>
    </row>
    <row r="6" spans="1:14" ht="18" customHeight="1" x14ac:dyDescent="0.25">
      <c r="A6" s="61">
        <f>SUBTOTAL(109,TablaDashboard[Total])</f>
        <v>11792011</v>
      </c>
      <c r="B6" s="61"/>
      <c r="C6" s="61"/>
      <c r="D6" s="48"/>
      <c r="E6" s="65">
        <f>IFERROR(SUBTOTAL(109,TablaDashboard[Margen Estimado])/SUBTOTAL(109,TablaDashboard[Total]),0)</f>
        <v>0.35000000000000003</v>
      </c>
      <c r="F6" s="63"/>
      <c r="G6" s="63"/>
      <c r="H6" s="48"/>
      <c r="I6" s="63" t="s">
        <v>212</v>
      </c>
      <c r="J6" s="63"/>
      <c r="K6" s="63"/>
      <c r="L6" s="48"/>
      <c r="M6" s="66">
        <f>SUBTOTAL(103,TablaDashboard[Fecha])</f>
        <v>50</v>
      </c>
      <c r="N6" s="63"/>
    </row>
    <row r="7" spans="1:14" ht="18" customHeight="1" x14ac:dyDescent="0.25">
      <c r="A7" s="61"/>
      <c r="B7" s="61"/>
      <c r="C7" s="61"/>
      <c r="D7" s="48"/>
      <c r="E7" s="63"/>
      <c r="F7" s="63"/>
      <c r="G7" s="63"/>
      <c r="H7" s="48"/>
      <c r="I7" s="63"/>
      <c r="J7" s="63"/>
      <c r="K7" s="63"/>
      <c r="L7" s="48"/>
      <c r="M7" s="63"/>
      <c r="N7" s="63"/>
    </row>
    <row r="8" spans="1:14" ht="18" customHeight="1" thickBot="1" x14ac:dyDescent="0.3">
      <c r="A8" s="62"/>
      <c r="B8" s="62"/>
      <c r="C8" s="62"/>
      <c r="D8" s="48"/>
      <c r="E8" s="64"/>
      <c r="F8" s="64"/>
      <c r="G8" s="64"/>
      <c r="H8" s="48"/>
      <c r="I8" s="64"/>
      <c r="J8" s="64"/>
      <c r="K8" s="64"/>
      <c r="L8" s="48"/>
      <c r="M8" s="64"/>
      <c r="N8" s="64"/>
    </row>
    <row r="9" spans="1:14" ht="18" customHeight="1" thickTop="1" x14ac:dyDescent="0.25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24.95" customHeight="1" x14ac:dyDescent="0.25">
      <c r="A10" s="48" t="str">
        <f>"Lectura ejecutiva: con los filtros activos, "&amp;TEXT(SUBTOTAL(103,TablaDashboard[Fecha]),"0")&amp;" operaciones generan $ "&amp;TEXT(SUBTOTAL(109,TablaDashboard[Total]),"#.##0")&amp;" de ventas. El margen mostrado es una simulación al 35%; el YoY no es calculable sin datos 2025."</f>
        <v>Lectura ejecutiva: con los filtros activos, 50 operaciones generan $ 11.792.011 de ventas. El margen mostrado es una simulación al 35%; el YoY no es calculable sin datos 2025.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24.95" customHeight="1" x14ac:dyDescent="0.25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24.95" customHeight="1" x14ac:dyDescent="0.25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18" customHeight="1" x14ac:dyDescent="0.25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</row>
    <row r="14" spans="1:14" ht="18" customHeight="1" x14ac:dyDescent="0.25">
      <c r="A14" s="54" t="s">
        <v>161</v>
      </c>
      <c r="B14" s="54"/>
      <c r="C14" s="54"/>
      <c r="D14" s="54"/>
      <c r="E14" s="54"/>
      <c r="F14" s="54"/>
      <c r="G14" s="54"/>
      <c r="H14" s="54"/>
      <c r="I14" s="54" t="s">
        <v>162</v>
      </c>
      <c r="J14" s="54"/>
      <c r="K14" s="54"/>
      <c r="L14" s="54"/>
      <c r="M14" s="54"/>
      <c r="N14" s="54"/>
    </row>
    <row r="15" spans="1:14" ht="18" customHeight="1" x14ac:dyDescent="0.2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</row>
    <row r="16" spans="1:14" ht="18" customHeight="1" x14ac:dyDescent="0.25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</row>
    <row r="17" spans="1:14" ht="18" customHeight="1" x14ac:dyDescent="0.25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</row>
    <row r="18" spans="1:14" ht="18" customHeight="1" x14ac:dyDescent="0.25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</row>
    <row r="19" spans="1:14" ht="18" customHeight="1" x14ac:dyDescent="0.25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</row>
    <row r="20" spans="1:14" ht="18" customHeight="1" x14ac:dyDescent="0.25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</row>
    <row r="21" spans="1:14" ht="18" customHeight="1" x14ac:dyDescent="0.25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</row>
    <row r="22" spans="1:14" ht="18" customHeight="1" x14ac:dyDescent="0.25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</row>
    <row r="23" spans="1:14" ht="18" customHeight="1" x14ac:dyDescent="0.25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</row>
    <row r="24" spans="1:14" ht="18" customHeight="1" x14ac:dyDescent="0.25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</row>
    <row r="25" spans="1:14" ht="18" customHeight="1" x14ac:dyDescent="0.25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</row>
    <row r="26" spans="1:14" ht="18" customHeight="1" x14ac:dyDescent="0.25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</row>
    <row r="27" spans="1:14" ht="18" customHeight="1" x14ac:dyDescent="0.25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</row>
    <row r="28" spans="1:14" ht="18" customHeight="1" x14ac:dyDescent="0.25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</row>
    <row r="29" spans="1:14" ht="18" customHeight="1" x14ac:dyDescent="0.25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</row>
    <row r="30" spans="1:14" ht="18" customHeight="1" x14ac:dyDescent="0.25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</row>
    <row r="31" spans="1:14" ht="18" customHeight="1" x14ac:dyDescent="0.25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</row>
    <row r="32" spans="1:14" ht="18" customHeight="1" x14ac:dyDescent="0.25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</row>
    <row r="33" spans="1:14" ht="18" customHeight="1" x14ac:dyDescent="0.25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</row>
    <row r="34" spans="1:14" ht="18" customHeight="1" x14ac:dyDescent="0.25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</row>
    <row r="35" spans="1:14" ht="18" customHeight="1" x14ac:dyDescent="0.2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</row>
    <row r="36" spans="1:14" ht="18" customHeight="1" x14ac:dyDescent="0.25">
      <c r="A36" s="49" t="s">
        <v>163</v>
      </c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</row>
    <row r="37" spans="1:14" ht="21.95" customHeight="1" x14ac:dyDescent="0.25">
      <c r="A37" s="55" t="s">
        <v>164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</row>
    <row r="38" spans="1:14" ht="21.95" customHeight="1" x14ac:dyDescent="0.25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</row>
    <row r="39" spans="1:14" ht="21.95" customHeight="1" x14ac:dyDescent="0.25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</row>
    <row r="40" spans="1:14" ht="21.95" customHeight="1" x14ac:dyDescent="0.25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</row>
    <row r="41" spans="1:14" ht="21.95" customHeight="1" x14ac:dyDescent="0.25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</row>
    <row r="42" spans="1:14" ht="18" customHeight="1" x14ac:dyDescent="0.25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</row>
    <row r="43" spans="1:14" ht="18" customHeight="1" x14ac:dyDescent="0.25">
      <c r="A43" s="56" t="s">
        <v>165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</row>
    <row r="44" spans="1:14" ht="18" customHeight="1" x14ac:dyDescent="0.25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</row>
    <row r="45" spans="1:14" ht="18" customHeight="1" x14ac:dyDescent="0.2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</row>
    <row r="46" spans="1:14" ht="18" customHeight="1" x14ac:dyDescent="0.25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</row>
    <row r="47" spans="1:14" ht="18" customHeight="1" x14ac:dyDescent="0.25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</row>
    <row r="48" spans="1:14" ht="18" customHeight="1" x14ac:dyDescent="0.25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</row>
    <row r="49" spans="1:14" ht="18" customHeight="1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</row>
    <row r="50" spans="1:14" ht="18" customHeight="1" x14ac:dyDescent="0.25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</row>
    <row r="51" spans="1:14" ht="18" customHeight="1" x14ac:dyDescent="0.25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14" ht="18" customHeight="1" x14ac:dyDescent="0.25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</row>
    <row r="53" spans="1:14" ht="18" customHeight="1" x14ac:dyDescent="0.25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</row>
    <row r="54" spans="1:14" ht="18" customHeight="1" x14ac:dyDescent="0.25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</row>
    <row r="55" spans="1:14" ht="18" customHeight="1" x14ac:dyDescent="0.2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60" spans="1:14" x14ac:dyDescent="0.25">
      <c r="A60" t="s">
        <v>1</v>
      </c>
      <c r="B60" t="s">
        <v>22</v>
      </c>
      <c r="C60" t="s">
        <v>34</v>
      </c>
      <c r="D60" t="s">
        <v>28</v>
      </c>
      <c r="E60" t="s">
        <v>159</v>
      </c>
      <c r="F60" t="s">
        <v>5</v>
      </c>
      <c r="G60" t="s">
        <v>105</v>
      </c>
      <c r="H60" t="s">
        <v>160</v>
      </c>
      <c r="N60" t="s">
        <v>166</v>
      </c>
    </row>
    <row r="61" spans="1:14" x14ac:dyDescent="0.25">
      <c r="A61" s="52">
        <v>46023</v>
      </c>
      <c r="B61" t="s">
        <v>25</v>
      </c>
      <c r="C61" t="s">
        <v>42</v>
      </c>
      <c r="D61" t="s">
        <v>30</v>
      </c>
      <c r="E61" s="2">
        <v>2</v>
      </c>
      <c r="F61" s="53">
        <v>407865</v>
      </c>
      <c r="G61" s="53">
        <v>265112.25</v>
      </c>
      <c r="H61" s="53">
        <v>142752.75</v>
      </c>
      <c r="N61">
        <v>1</v>
      </c>
    </row>
    <row r="62" spans="1:14" x14ac:dyDescent="0.25">
      <c r="A62" s="52">
        <v>46024</v>
      </c>
      <c r="B62" t="s">
        <v>25</v>
      </c>
      <c r="C62" t="s">
        <v>41</v>
      </c>
      <c r="D62" t="s">
        <v>32</v>
      </c>
      <c r="E62" s="2">
        <v>9</v>
      </c>
      <c r="F62" s="53">
        <v>226080</v>
      </c>
      <c r="G62" s="53">
        <v>146952</v>
      </c>
      <c r="H62" s="53">
        <v>79128</v>
      </c>
    </row>
    <row r="63" spans="1:14" x14ac:dyDescent="0.25">
      <c r="A63" s="52">
        <v>46025</v>
      </c>
      <c r="B63" t="s">
        <v>25</v>
      </c>
      <c r="C63" t="s">
        <v>36</v>
      </c>
      <c r="D63" t="s">
        <v>29</v>
      </c>
      <c r="E63" s="2">
        <v>9</v>
      </c>
      <c r="F63" s="53">
        <v>86657</v>
      </c>
      <c r="G63" s="53">
        <v>56327.05</v>
      </c>
      <c r="H63" s="53">
        <v>30329.949999999997</v>
      </c>
    </row>
    <row r="64" spans="1:14" x14ac:dyDescent="0.25">
      <c r="A64" s="52">
        <v>46026</v>
      </c>
      <c r="B64" t="s">
        <v>25</v>
      </c>
      <c r="C64" t="s">
        <v>42</v>
      </c>
      <c r="D64" t="s">
        <v>29</v>
      </c>
      <c r="E64" s="2">
        <v>11</v>
      </c>
      <c r="F64" s="53">
        <v>192881</v>
      </c>
      <c r="G64" s="53">
        <v>125372.65000000001</v>
      </c>
      <c r="H64" s="53">
        <v>67508.349999999991</v>
      </c>
    </row>
    <row r="65" spans="1:8" x14ac:dyDescent="0.25">
      <c r="A65" s="52">
        <v>46027</v>
      </c>
      <c r="B65" t="s">
        <v>25</v>
      </c>
      <c r="C65" t="s">
        <v>38</v>
      </c>
      <c r="D65" t="s">
        <v>29</v>
      </c>
      <c r="E65" s="2">
        <v>7</v>
      </c>
      <c r="F65" s="53">
        <v>387744</v>
      </c>
      <c r="G65" s="53">
        <v>252033.6</v>
      </c>
      <c r="H65" s="53">
        <v>135710.39999999999</v>
      </c>
    </row>
    <row r="66" spans="1:8" x14ac:dyDescent="0.25">
      <c r="A66" s="52">
        <v>46028</v>
      </c>
      <c r="B66" t="s">
        <v>25</v>
      </c>
      <c r="C66" t="s">
        <v>40</v>
      </c>
      <c r="D66" t="s">
        <v>33</v>
      </c>
      <c r="E66" s="2">
        <v>2</v>
      </c>
      <c r="F66" s="53">
        <v>166789</v>
      </c>
      <c r="G66" s="53">
        <v>108412.85</v>
      </c>
      <c r="H66" s="53">
        <v>58376.149999999994</v>
      </c>
    </row>
    <row r="67" spans="1:8" x14ac:dyDescent="0.25">
      <c r="A67" s="52">
        <v>46029</v>
      </c>
      <c r="B67" t="s">
        <v>25</v>
      </c>
      <c r="C67" t="s">
        <v>37</v>
      </c>
      <c r="D67" t="s">
        <v>29</v>
      </c>
      <c r="E67" s="2">
        <v>1</v>
      </c>
      <c r="F67" s="53">
        <v>95071</v>
      </c>
      <c r="G67" s="53">
        <v>61796.15</v>
      </c>
      <c r="H67" s="53">
        <v>33274.85</v>
      </c>
    </row>
    <row r="68" spans="1:8" x14ac:dyDescent="0.25">
      <c r="A68" s="52">
        <v>46030</v>
      </c>
      <c r="B68" t="s">
        <v>25</v>
      </c>
      <c r="C68" t="s">
        <v>38</v>
      </c>
      <c r="D68" t="s">
        <v>29</v>
      </c>
      <c r="E68" s="2">
        <v>4</v>
      </c>
      <c r="F68" s="53">
        <v>175472</v>
      </c>
      <c r="G68" s="53">
        <v>114056.8</v>
      </c>
      <c r="H68" s="53">
        <v>61415.199999999997</v>
      </c>
    </row>
    <row r="69" spans="1:8" x14ac:dyDescent="0.25">
      <c r="A69" s="52">
        <v>46031</v>
      </c>
      <c r="B69" t="s">
        <v>25</v>
      </c>
      <c r="C69" t="s">
        <v>13</v>
      </c>
      <c r="D69" t="s">
        <v>33</v>
      </c>
      <c r="E69" s="2">
        <v>2</v>
      </c>
      <c r="F69" s="53">
        <v>442023</v>
      </c>
      <c r="G69" s="53">
        <v>287314.95</v>
      </c>
      <c r="H69" s="53">
        <v>154708.04999999999</v>
      </c>
    </row>
    <row r="70" spans="1:8" x14ac:dyDescent="0.25">
      <c r="A70" s="52">
        <v>46032</v>
      </c>
      <c r="B70" t="s">
        <v>25</v>
      </c>
      <c r="C70" t="s">
        <v>42</v>
      </c>
      <c r="D70" t="s">
        <v>31</v>
      </c>
      <c r="E70" s="2">
        <v>3</v>
      </c>
      <c r="F70" s="53">
        <v>372255</v>
      </c>
      <c r="G70" s="53">
        <v>241965.75</v>
      </c>
      <c r="H70" s="53">
        <v>130289.24999999999</v>
      </c>
    </row>
    <row r="71" spans="1:8" x14ac:dyDescent="0.25">
      <c r="A71" s="52">
        <v>46033</v>
      </c>
      <c r="B71" t="s">
        <v>25</v>
      </c>
      <c r="C71" t="s">
        <v>37</v>
      </c>
      <c r="D71" t="s">
        <v>29</v>
      </c>
      <c r="E71" s="2">
        <v>7</v>
      </c>
      <c r="F71" s="53">
        <v>250137</v>
      </c>
      <c r="G71" s="53">
        <v>162589.05000000002</v>
      </c>
      <c r="H71" s="53">
        <v>87547.95</v>
      </c>
    </row>
    <row r="72" spans="1:8" x14ac:dyDescent="0.25">
      <c r="A72" s="52">
        <v>46034</v>
      </c>
      <c r="B72" t="s">
        <v>25</v>
      </c>
      <c r="C72" t="s">
        <v>35</v>
      </c>
      <c r="D72" t="s">
        <v>30</v>
      </c>
      <c r="E72" s="2">
        <v>2</v>
      </c>
      <c r="F72" s="53">
        <v>194193</v>
      </c>
      <c r="G72" s="53">
        <v>126225.45</v>
      </c>
      <c r="H72" s="53">
        <v>67967.55</v>
      </c>
    </row>
    <row r="73" spans="1:8" x14ac:dyDescent="0.25">
      <c r="A73" s="52">
        <v>46035</v>
      </c>
      <c r="B73" t="s">
        <v>25</v>
      </c>
      <c r="C73" t="s">
        <v>39</v>
      </c>
      <c r="D73" t="s">
        <v>31</v>
      </c>
      <c r="E73" s="2">
        <v>10</v>
      </c>
      <c r="F73" s="53">
        <v>209071</v>
      </c>
      <c r="G73" s="53">
        <v>135896.15</v>
      </c>
      <c r="H73" s="53">
        <v>73174.849999999991</v>
      </c>
    </row>
    <row r="74" spans="1:8" x14ac:dyDescent="0.25">
      <c r="A74" s="52">
        <v>46036</v>
      </c>
      <c r="B74" t="s">
        <v>25</v>
      </c>
      <c r="C74" t="s">
        <v>37</v>
      </c>
      <c r="D74" t="s">
        <v>29</v>
      </c>
      <c r="E74" s="2">
        <v>6</v>
      </c>
      <c r="F74" s="53">
        <v>34258</v>
      </c>
      <c r="G74" s="53">
        <v>22267.7</v>
      </c>
      <c r="H74" s="53">
        <v>11990.3</v>
      </c>
    </row>
    <row r="75" spans="1:8" x14ac:dyDescent="0.25">
      <c r="A75" s="52">
        <v>46037</v>
      </c>
      <c r="B75" t="s">
        <v>25</v>
      </c>
      <c r="C75" t="s">
        <v>39</v>
      </c>
      <c r="D75" t="s">
        <v>31</v>
      </c>
      <c r="E75" s="2">
        <v>7</v>
      </c>
      <c r="F75" s="53">
        <v>284022</v>
      </c>
      <c r="G75" s="53">
        <v>184614.30000000002</v>
      </c>
      <c r="H75" s="53">
        <v>99407.7</v>
      </c>
    </row>
    <row r="76" spans="1:8" x14ac:dyDescent="0.25">
      <c r="A76" s="52">
        <v>46038</v>
      </c>
      <c r="B76" t="s">
        <v>25</v>
      </c>
      <c r="C76" t="s">
        <v>41</v>
      </c>
      <c r="D76" t="s">
        <v>30</v>
      </c>
      <c r="E76" s="2">
        <v>12</v>
      </c>
      <c r="F76" s="53">
        <v>87654</v>
      </c>
      <c r="G76" s="53">
        <v>56975.1</v>
      </c>
      <c r="H76" s="53">
        <v>30678.899999999998</v>
      </c>
    </row>
    <row r="77" spans="1:8" x14ac:dyDescent="0.25">
      <c r="A77" s="52">
        <v>46039</v>
      </c>
      <c r="B77" t="s">
        <v>25</v>
      </c>
      <c r="C77" t="s">
        <v>42</v>
      </c>
      <c r="D77" t="s">
        <v>32</v>
      </c>
      <c r="E77" s="2">
        <v>10</v>
      </c>
      <c r="F77" s="53">
        <v>170346</v>
      </c>
      <c r="G77" s="53">
        <v>110724.90000000001</v>
      </c>
      <c r="H77" s="53">
        <v>59621.1</v>
      </c>
    </row>
    <row r="78" spans="1:8" x14ac:dyDescent="0.25">
      <c r="A78" s="52">
        <v>46040</v>
      </c>
      <c r="B78" t="s">
        <v>25</v>
      </c>
      <c r="C78" t="s">
        <v>16</v>
      </c>
      <c r="D78" t="s">
        <v>32</v>
      </c>
      <c r="E78" s="2">
        <v>7</v>
      </c>
      <c r="F78" s="53">
        <v>267284</v>
      </c>
      <c r="G78" s="53">
        <v>173734.6</v>
      </c>
      <c r="H78" s="53">
        <v>93549.4</v>
      </c>
    </row>
    <row r="79" spans="1:8" x14ac:dyDescent="0.25">
      <c r="A79" s="52">
        <v>46041</v>
      </c>
      <c r="B79" t="s">
        <v>25</v>
      </c>
      <c r="C79" t="s">
        <v>39</v>
      </c>
      <c r="D79" t="s">
        <v>31</v>
      </c>
      <c r="E79" s="2">
        <v>2</v>
      </c>
      <c r="F79" s="53">
        <v>350167</v>
      </c>
      <c r="G79" s="53">
        <v>227608.55000000002</v>
      </c>
      <c r="H79" s="53">
        <v>122558.45</v>
      </c>
    </row>
    <row r="80" spans="1:8" x14ac:dyDescent="0.25">
      <c r="A80" s="52">
        <v>46042</v>
      </c>
      <c r="B80" t="s">
        <v>25</v>
      </c>
      <c r="C80" t="s">
        <v>41</v>
      </c>
      <c r="D80" t="s">
        <v>32</v>
      </c>
      <c r="E80" s="2">
        <v>5</v>
      </c>
      <c r="F80" s="53">
        <v>401589</v>
      </c>
      <c r="G80" s="53">
        <v>261032.85</v>
      </c>
      <c r="H80" s="53">
        <v>140556.15</v>
      </c>
    </row>
    <row r="81" spans="1:8" x14ac:dyDescent="0.25">
      <c r="A81" s="52">
        <v>46043</v>
      </c>
      <c r="B81" t="s">
        <v>25</v>
      </c>
      <c r="C81" t="s">
        <v>39</v>
      </c>
      <c r="D81" t="s">
        <v>29</v>
      </c>
      <c r="E81" s="2">
        <v>4</v>
      </c>
      <c r="F81" s="53">
        <v>144586</v>
      </c>
      <c r="G81" s="53">
        <v>93980.900000000009</v>
      </c>
      <c r="H81" s="53">
        <v>50605.1</v>
      </c>
    </row>
    <row r="82" spans="1:8" x14ac:dyDescent="0.25">
      <c r="A82" s="52">
        <v>46044</v>
      </c>
      <c r="B82" t="s">
        <v>25</v>
      </c>
      <c r="C82" t="s">
        <v>17</v>
      </c>
      <c r="D82" t="s">
        <v>32</v>
      </c>
      <c r="E82" s="2">
        <v>1</v>
      </c>
      <c r="F82" s="53">
        <v>117953</v>
      </c>
      <c r="G82" s="53">
        <v>76669.45</v>
      </c>
      <c r="H82" s="53">
        <v>41283.549999999996</v>
      </c>
    </row>
    <row r="83" spans="1:8" x14ac:dyDescent="0.25">
      <c r="A83" s="52">
        <v>46045</v>
      </c>
      <c r="B83" t="s">
        <v>25</v>
      </c>
      <c r="C83" t="s">
        <v>37</v>
      </c>
      <c r="D83" t="s">
        <v>30</v>
      </c>
      <c r="E83" s="2">
        <v>4</v>
      </c>
      <c r="F83" s="53">
        <v>335952</v>
      </c>
      <c r="G83" s="53">
        <v>218368.80000000002</v>
      </c>
      <c r="H83" s="53">
        <v>117583.2</v>
      </c>
    </row>
    <row r="84" spans="1:8" x14ac:dyDescent="0.25">
      <c r="A84" s="52">
        <v>46046</v>
      </c>
      <c r="B84" t="s">
        <v>25</v>
      </c>
      <c r="C84" t="s">
        <v>40</v>
      </c>
      <c r="D84" t="s">
        <v>33</v>
      </c>
      <c r="E84" s="2">
        <v>10</v>
      </c>
      <c r="F84" s="53">
        <v>122680</v>
      </c>
      <c r="G84" s="53">
        <v>79742</v>
      </c>
      <c r="H84" s="53">
        <v>42938</v>
      </c>
    </row>
    <row r="85" spans="1:8" x14ac:dyDescent="0.25">
      <c r="A85" s="52">
        <v>46047</v>
      </c>
      <c r="B85" t="s">
        <v>25</v>
      </c>
      <c r="C85" t="s">
        <v>36</v>
      </c>
      <c r="D85" t="s">
        <v>32</v>
      </c>
      <c r="E85" s="2">
        <v>1</v>
      </c>
      <c r="F85" s="53">
        <v>126358</v>
      </c>
      <c r="G85" s="53">
        <v>82132.7</v>
      </c>
      <c r="H85" s="53">
        <v>44225.299999999996</v>
      </c>
    </row>
    <row r="86" spans="1:8" x14ac:dyDescent="0.25">
      <c r="A86" s="52">
        <v>46048</v>
      </c>
      <c r="B86" t="s">
        <v>25</v>
      </c>
      <c r="C86" t="s">
        <v>42</v>
      </c>
      <c r="D86" t="s">
        <v>32</v>
      </c>
      <c r="E86" s="2">
        <v>11</v>
      </c>
      <c r="F86" s="53">
        <v>288973</v>
      </c>
      <c r="G86" s="53">
        <v>187832.45</v>
      </c>
      <c r="H86" s="53">
        <v>101140.54999999999</v>
      </c>
    </row>
    <row r="87" spans="1:8" x14ac:dyDescent="0.25">
      <c r="A87" s="52">
        <v>46049</v>
      </c>
      <c r="B87" t="s">
        <v>25</v>
      </c>
      <c r="C87" t="s">
        <v>18</v>
      </c>
      <c r="D87" t="s">
        <v>32</v>
      </c>
      <c r="E87" s="2">
        <v>5</v>
      </c>
      <c r="F87" s="53">
        <v>296799</v>
      </c>
      <c r="G87" s="53">
        <v>192919.35</v>
      </c>
      <c r="H87" s="53">
        <v>103879.65</v>
      </c>
    </row>
    <row r="88" spans="1:8" x14ac:dyDescent="0.25">
      <c r="A88" s="52">
        <v>46050</v>
      </c>
      <c r="B88" t="s">
        <v>25</v>
      </c>
      <c r="C88" t="s">
        <v>42</v>
      </c>
      <c r="D88" t="s">
        <v>31</v>
      </c>
      <c r="E88" s="2">
        <v>2</v>
      </c>
      <c r="F88" s="53">
        <v>28871</v>
      </c>
      <c r="G88" s="53">
        <v>18766.150000000001</v>
      </c>
      <c r="H88" s="53">
        <v>10104.849999999999</v>
      </c>
    </row>
    <row r="89" spans="1:8" x14ac:dyDescent="0.25">
      <c r="A89" s="52">
        <v>46051</v>
      </c>
      <c r="B89" t="s">
        <v>25</v>
      </c>
      <c r="C89" t="s">
        <v>39</v>
      </c>
      <c r="D89" t="s">
        <v>30</v>
      </c>
      <c r="E89" s="2">
        <v>12</v>
      </c>
      <c r="F89" s="53">
        <v>420138</v>
      </c>
      <c r="G89" s="53">
        <v>273089.7</v>
      </c>
      <c r="H89" s="53">
        <v>147048.29999999999</v>
      </c>
    </row>
    <row r="90" spans="1:8" x14ac:dyDescent="0.25">
      <c r="A90" s="52">
        <v>46054</v>
      </c>
      <c r="B90" t="s">
        <v>27</v>
      </c>
      <c r="C90" t="s">
        <v>42</v>
      </c>
      <c r="D90" t="s">
        <v>29</v>
      </c>
      <c r="E90" s="2">
        <v>11</v>
      </c>
      <c r="F90" s="53">
        <v>256202</v>
      </c>
      <c r="G90" s="53">
        <v>166531.30000000002</v>
      </c>
      <c r="H90" s="53">
        <v>89670.7</v>
      </c>
    </row>
    <row r="91" spans="1:8" x14ac:dyDescent="0.25">
      <c r="A91" s="52">
        <v>46055</v>
      </c>
      <c r="B91" t="s">
        <v>27</v>
      </c>
      <c r="C91" t="s">
        <v>19</v>
      </c>
      <c r="D91" t="s">
        <v>30</v>
      </c>
      <c r="E91" s="2">
        <v>2</v>
      </c>
      <c r="F91" s="53">
        <v>392600</v>
      </c>
      <c r="G91" s="53">
        <v>255190</v>
      </c>
      <c r="H91" s="53">
        <v>137410</v>
      </c>
    </row>
    <row r="92" spans="1:8" x14ac:dyDescent="0.25">
      <c r="A92" s="52">
        <v>46056</v>
      </c>
      <c r="B92" t="s">
        <v>27</v>
      </c>
      <c r="C92" t="s">
        <v>40</v>
      </c>
      <c r="D92" t="s">
        <v>33</v>
      </c>
      <c r="E92" s="2">
        <v>7</v>
      </c>
      <c r="F92" s="53">
        <v>105113</v>
      </c>
      <c r="G92" s="53">
        <v>68323.45</v>
      </c>
      <c r="H92" s="53">
        <v>36789.549999999996</v>
      </c>
    </row>
    <row r="93" spans="1:8" x14ac:dyDescent="0.25">
      <c r="A93" s="52">
        <v>46057</v>
      </c>
      <c r="B93" t="s">
        <v>27</v>
      </c>
      <c r="C93" t="s">
        <v>36</v>
      </c>
      <c r="D93" t="s">
        <v>33</v>
      </c>
      <c r="E93" s="2">
        <v>1</v>
      </c>
      <c r="F93" s="53">
        <v>74050</v>
      </c>
      <c r="G93" s="53">
        <v>48132.5</v>
      </c>
      <c r="H93" s="53">
        <v>25917.5</v>
      </c>
    </row>
    <row r="94" spans="1:8" x14ac:dyDescent="0.25">
      <c r="A94" s="52">
        <v>46058</v>
      </c>
      <c r="B94" t="s">
        <v>27</v>
      </c>
      <c r="C94" t="s">
        <v>38</v>
      </c>
      <c r="D94" t="s">
        <v>32</v>
      </c>
      <c r="E94" s="2">
        <v>7</v>
      </c>
      <c r="F94" s="53">
        <v>350123</v>
      </c>
      <c r="G94" s="53">
        <v>227579.95</v>
      </c>
      <c r="H94" s="53">
        <v>122543.04999999999</v>
      </c>
    </row>
    <row r="95" spans="1:8" x14ac:dyDescent="0.25">
      <c r="A95" s="52">
        <v>46059</v>
      </c>
      <c r="B95" t="s">
        <v>27</v>
      </c>
      <c r="C95" t="s">
        <v>35</v>
      </c>
      <c r="D95" t="s">
        <v>33</v>
      </c>
      <c r="E95" s="2">
        <v>9</v>
      </c>
      <c r="F95" s="53">
        <v>281246</v>
      </c>
      <c r="G95" s="53">
        <v>182809.9</v>
      </c>
      <c r="H95" s="53">
        <v>98436.099999999991</v>
      </c>
    </row>
    <row r="96" spans="1:8" x14ac:dyDescent="0.25">
      <c r="A96" s="52">
        <v>46060</v>
      </c>
      <c r="B96" t="s">
        <v>27</v>
      </c>
      <c r="C96" t="s">
        <v>38</v>
      </c>
      <c r="D96" t="s">
        <v>29</v>
      </c>
      <c r="E96" s="2">
        <v>7</v>
      </c>
      <c r="F96" s="53">
        <v>131205</v>
      </c>
      <c r="G96" s="53">
        <v>85283.25</v>
      </c>
      <c r="H96" s="53">
        <v>45921.75</v>
      </c>
    </row>
    <row r="97" spans="1:8" x14ac:dyDescent="0.25">
      <c r="A97" s="52">
        <v>46061</v>
      </c>
      <c r="B97" t="s">
        <v>27</v>
      </c>
      <c r="C97" t="s">
        <v>41</v>
      </c>
      <c r="D97" t="s">
        <v>31</v>
      </c>
      <c r="E97" s="2">
        <v>4</v>
      </c>
      <c r="F97" s="53">
        <v>246296</v>
      </c>
      <c r="G97" s="53">
        <v>160092.4</v>
      </c>
      <c r="H97" s="53">
        <v>86203.599999999991</v>
      </c>
    </row>
    <row r="98" spans="1:8" x14ac:dyDescent="0.25">
      <c r="A98" s="52">
        <v>46062</v>
      </c>
      <c r="B98" t="s">
        <v>27</v>
      </c>
      <c r="C98" t="s">
        <v>40</v>
      </c>
      <c r="D98" t="s">
        <v>31</v>
      </c>
      <c r="E98" s="2">
        <v>4</v>
      </c>
      <c r="F98" s="53">
        <v>337884</v>
      </c>
      <c r="G98" s="53">
        <v>219624.6</v>
      </c>
      <c r="H98" s="53">
        <v>118259.4</v>
      </c>
    </row>
    <row r="99" spans="1:8" x14ac:dyDescent="0.25">
      <c r="A99" s="52">
        <v>46063</v>
      </c>
      <c r="B99" t="s">
        <v>27</v>
      </c>
      <c r="C99" t="s">
        <v>35</v>
      </c>
      <c r="D99" t="s">
        <v>30</v>
      </c>
      <c r="E99" s="2">
        <v>3</v>
      </c>
      <c r="F99" s="53">
        <v>15166</v>
      </c>
      <c r="G99" s="53">
        <v>9857.9</v>
      </c>
      <c r="H99" s="53">
        <v>5308.0999999999995</v>
      </c>
    </row>
    <row r="100" spans="1:8" x14ac:dyDescent="0.25">
      <c r="A100" s="52">
        <v>46064</v>
      </c>
      <c r="B100" t="s">
        <v>27</v>
      </c>
      <c r="C100" t="s">
        <v>39</v>
      </c>
      <c r="D100" t="s">
        <v>32</v>
      </c>
      <c r="E100" s="2">
        <v>12</v>
      </c>
      <c r="F100" s="53">
        <v>129699</v>
      </c>
      <c r="G100" s="53">
        <v>84304.35</v>
      </c>
      <c r="H100" s="53">
        <v>45394.649999999994</v>
      </c>
    </row>
    <row r="101" spans="1:8" x14ac:dyDescent="0.25">
      <c r="A101" s="52">
        <v>46065</v>
      </c>
      <c r="B101" t="s">
        <v>27</v>
      </c>
      <c r="C101" t="s">
        <v>37</v>
      </c>
      <c r="D101" t="s">
        <v>30</v>
      </c>
      <c r="E101" s="2">
        <v>1</v>
      </c>
      <c r="F101" s="53">
        <v>184990</v>
      </c>
      <c r="G101" s="53">
        <v>120243.5</v>
      </c>
      <c r="H101" s="53">
        <v>64746.499999999993</v>
      </c>
    </row>
    <row r="102" spans="1:8" x14ac:dyDescent="0.25">
      <c r="A102" s="52">
        <v>46066</v>
      </c>
      <c r="B102" t="s">
        <v>27</v>
      </c>
      <c r="C102" t="s">
        <v>42</v>
      </c>
      <c r="D102" t="s">
        <v>29</v>
      </c>
      <c r="E102" s="2">
        <v>5</v>
      </c>
      <c r="F102" s="53">
        <v>351837</v>
      </c>
      <c r="G102" s="53">
        <v>228694.05000000002</v>
      </c>
      <c r="H102" s="53">
        <v>123142.95</v>
      </c>
    </row>
    <row r="103" spans="1:8" x14ac:dyDescent="0.25">
      <c r="A103" s="52">
        <v>46067</v>
      </c>
      <c r="B103" t="s">
        <v>27</v>
      </c>
      <c r="C103" t="s">
        <v>40</v>
      </c>
      <c r="D103" t="s">
        <v>29</v>
      </c>
      <c r="E103" s="2">
        <v>10</v>
      </c>
      <c r="F103" s="53">
        <v>22157</v>
      </c>
      <c r="G103" s="53">
        <v>14402.050000000001</v>
      </c>
      <c r="H103" s="53">
        <v>7754.95</v>
      </c>
    </row>
    <row r="104" spans="1:8" x14ac:dyDescent="0.25">
      <c r="A104" s="52">
        <v>46068</v>
      </c>
      <c r="B104" t="s">
        <v>27</v>
      </c>
      <c r="C104" t="s">
        <v>40</v>
      </c>
      <c r="D104" t="s">
        <v>29</v>
      </c>
      <c r="E104" s="2">
        <v>7</v>
      </c>
      <c r="F104" s="53">
        <v>374661</v>
      </c>
      <c r="G104" s="53">
        <v>243529.65</v>
      </c>
      <c r="H104" s="53">
        <v>131131.35</v>
      </c>
    </row>
    <row r="105" spans="1:8" x14ac:dyDescent="0.25">
      <c r="A105" s="52">
        <v>46069</v>
      </c>
      <c r="B105" t="s">
        <v>27</v>
      </c>
      <c r="C105" t="s">
        <v>37</v>
      </c>
      <c r="D105" t="s">
        <v>32</v>
      </c>
      <c r="E105" s="2">
        <v>12</v>
      </c>
      <c r="F105" s="53">
        <v>435925</v>
      </c>
      <c r="G105" s="53">
        <v>283351.25</v>
      </c>
      <c r="H105" s="53">
        <v>152573.75</v>
      </c>
    </row>
    <row r="106" spans="1:8" x14ac:dyDescent="0.25">
      <c r="A106" s="52">
        <v>46070</v>
      </c>
      <c r="B106" t="s">
        <v>27</v>
      </c>
      <c r="C106" t="s">
        <v>39</v>
      </c>
      <c r="D106" t="s">
        <v>32</v>
      </c>
      <c r="E106" s="2">
        <v>7</v>
      </c>
      <c r="F106" s="53">
        <v>134187</v>
      </c>
      <c r="G106" s="53">
        <v>87221.55</v>
      </c>
      <c r="H106" s="53">
        <v>46965.45</v>
      </c>
    </row>
    <row r="107" spans="1:8" x14ac:dyDescent="0.25">
      <c r="A107" s="52">
        <v>46071</v>
      </c>
      <c r="B107" t="s">
        <v>27</v>
      </c>
      <c r="C107" t="s">
        <v>42</v>
      </c>
      <c r="D107" t="s">
        <v>33</v>
      </c>
      <c r="E107" s="2">
        <v>3</v>
      </c>
      <c r="F107" s="53">
        <v>416770</v>
      </c>
      <c r="G107" s="53">
        <v>270900.5</v>
      </c>
      <c r="H107" s="53">
        <v>145869.5</v>
      </c>
    </row>
    <row r="108" spans="1:8" x14ac:dyDescent="0.25">
      <c r="A108" s="52">
        <v>46072</v>
      </c>
      <c r="B108" t="s">
        <v>27</v>
      </c>
      <c r="C108" t="s">
        <v>41</v>
      </c>
      <c r="D108" t="s">
        <v>31</v>
      </c>
      <c r="E108" s="2">
        <v>7</v>
      </c>
      <c r="F108" s="53">
        <v>143367</v>
      </c>
      <c r="G108" s="53">
        <v>93188.55</v>
      </c>
      <c r="H108" s="53">
        <v>50178.45</v>
      </c>
    </row>
    <row r="109" spans="1:8" x14ac:dyDescent="0.25">
      <c r="A109" s="52">
        <v>46073</v>
      </c>
      <c r="B109" t="s">
        <v>27</v>
      </c>
      <c r="C109" t="s">
        <v>37</v>
      </c>
      <c r="D109" t="s">
        <v>33</v>
      </c>
      <c r="E109" s="2">
        <v>11</v>
      </c>
      <c r="F109" s="53">
        <v>415946</v>
      </c>
      <c r="G109" s="53">
        <v>270364.90000000002</v>
      </c>
      <c r="H109" s="53">
        <v>145581.09999999998</v>
      </c>
    </row>
    <row r="110" spans="1:8" x14ac:dyDescent="0.25">
      <c r="A110" s="52">
        <v>46074</v>
      </c>
      <c r="B110" t="s">
        <v>27</v>
      </c>
      <c r="C110" t="s">
        <v>37</v>
      </c>
      <c r="D110" t="s">
        <v>32</v>
      </c>
      <c r="E110" s="2">
        <v>12</v>
      </c>
      <c r="F110" s="53">
        <v>308719</v>
      </c>
      <c r="G110" s="53">
        <v>200667.35</v>
      </c>
      <c r="H110" s="53">
        <v>108051.65</v>
      </c>
    </row>
  </sheetData>
  <mergeCells count="15">
    <mergeCell ref="A14:H14"/>
    <mergeCell ref="I14:N14"/>
    <mergeCell ref="A36:N36"/>
    <mergeCell ref="A37:N41"/>
    <mergeCell ref="A43:N44"/>
    <mergeCell ref="E5:G5"/>
    <mergeCell ref="E6:G8"/>
    <mergeCell ref="I5:K5"/>
    <mergeCell ref="I6:K8"/>
    <mergeCell ref="M5:N5"/>
    <mergeCell ref="A1:N2"/>
    <mergeCell ref="A3:N3"/>
    <mergeCell ref="A5:C5"/>
    <mergeCell ref="A6:C8"/>
    <mergeCell ref="M6:N8"/>
  </mergeCells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B7050-5CAA-43A2-9249-1B13D8B0D2D4}">
  <dimension ref="A1:F17"/>
  <sheetViews>
    <sheetView showGridLines="0" topLeftCell="B5" workbookViewId="0">
      <selection activeCell="E4" sqref="E4"/>
    </sheetView>
  </sheetViews>
  <sheetFormatPr baseColWidth="10" defaultRowHeight="15" x14ac:dyDescent="0.25"/>
  <cols>
    <col min="1" max="1" width="34" customWidth="1"/>
    <col min="2" max="2" width="56" customWidth="1"/>
    <col min="3" max="6" width="34.28515625" customWidth="1"/>
  </cols>
  <sheetData>
    <row r="1" spans="1:6" ht="21" x14ac:dyDescent="0.35">
      <c r="A1" s="57" t="s">
        <v>167</v>
      </c>
      <c r="B1" s="57"/>
      <c r="C1" s="57"/>
      <c r="D1" s="57"/>
      <c r="E1" s="57"/>
      <c r="F1" s="57"/>
    </row>
    <row r="3" spans="1:6" x14ac:dyDescent="0.25">
      <c r="A3" s="58" t="s">
        <v>168</v>
      </c>
      <c r="B3" s="58" t="s">
        <v>169</v>
      </c>
      <c r="C3" s="58" t="s">
        <v>170</v>
      </c>
      <c r="D3" s="58" t="s">
        <v>171</v>
      </c>
      <c r="E3" s="58" t="s">
        <v>172</v>
      </c>
      <c r="F3" s="58" t="s">
        <v>117</v>
      </c>
    </row>
    <row r="4" spans="1:6" ht="75" x14ac:dyDescent="0.25">
      <c r="A4" s="59">
        <v>1</v>
      </c>
      <c r="B4" s="59" t="s">
        <v>173</v>
      </c>
      <c r="C4" s="59" t="s">
        <v>174</v>
      </c>
      <c r="D4" s="59" t="s">
        <v>175</v>
      </c>
      <c r="E4" s="59" t="s">
        <v>176</v>
      </c>
      <c r="F4" s="59" t="s">
        <v>177</v>
      </c>
    </row>
    <row r="5" spans="1:6" ht="45" x14ac:dyDescent="0.25">
      <c r="A5" s="59">
        <v>2</v>
      </c>
      <c r="B5" s="59" t="s">
        <v>178</v>
      </c>
      <c r="C5" s="59" t="s">
        <v>179</v>
      </c>
      <c r="D5" s="59" t="s">
        <v>180</v>
      </c>
      <c r="E5" s="59" t="s">
        <v>181</v>
      </c>
      <c r="F5" s="59" t="s">
        <v>177</v>
      </c>
    </row>
    <row r="6" spans="1:6" ht="60" x14ac:dyDescent="0.25">
      <c r="A6" s="59">
        <v>3</v>
      </c>
      <c r="B6" s="59" t="s">
        <v>182</v>
      </c>
      <c r="C6" s="59" t="s">
        <v>183</v>
      </c>
      <c r="D6" s="59" t="s">
        <v>184</v>
      </c>
      <c r="E6" s="59" t="s">
        <v>185</v>
      </c>
      <c r="F6" s="59" t="s">
        <v>177</v>
      </c>
    </row>
    <row r="7" spans="1:6" ht="45" x14ac:dyDescent="0.25">
      <c r="A7" s="59">
        <v>4</v>
      </c>
      <c r="B7" s="59" t="s">
        <v>186</v>
      </c>
      <c r="C7" s="59" t="s">
        <v>187</v>
      </c>
      <c r="D7" s="59" t="s">
        <v>188</v>
      </c>
      <c r="E7" s="59" t="s">
        <v>189</v>
      </c>
      <c r="F7" s="59" t="s">
        <v>177</v>
      </c>
    </row>
    <row r="9" spans="1:6" x14ac:dyDescent="0.25">
      <c r="A9" s="49" t="s">
        <v>190</v>
      </c>
      <c r="B9" s="49"/>
      <c r="C9" s="49"/>
      <c r="D9" s="49"/>
      <c r="E9" s="49"/>
      <c r="F9" s="49"/>
    </row>
    <row r="10" spans="1:6" x14ac:dyDescent="0.25">
      <c r="A10" s="58" t="s">
        <v>191</v>
      </c>
      <c r="B10" s="58" t="s">
        <v>192</v>
      </c>
      <c r="C10" s="58" t="s">
        <v>117</v>
      </c>
    </row>
    <row r="11" spans="1:6" x14ac:dyDescent="0.25">
      <c r="A11" t="s">
        <v>193</v>
      </c>
      <c r="B11" t="s">
        <v>194</v>
      </c>
      <c r="C11" t="s">
        <v>195</v>
      </c>
    </row>
    <row r="12" spans="1:6" x14ac:dyDescent="0.25">
      <c r="A12" t="s">
        <v>196</v>
      </c>
      <c r="B12" t="s">
        <v>197</v>
      </c>
      <c r="C12" t="s">
        <v>195</v>
      </c>
    </row>
    <row r="13" spans="1:6" x14ac:dyDescent="0.25">
      <c r="A13" t="s">
        <v>198</v>
      </c>
      <c r="B13" t="s">
        <v>199</v>
      </c>
      <c r="C13" t="s">
        <v>195</v>
      </c>
    </row>
    <row r="14" spans="1:6" x14ac:dyDescent="0.25">
      <c r="A14" t="s">
        <v>200</v>
      </c>
      <c r="B14" t="s">
        <v>201</v>
      </c>
      <c r="C14" t="s">
        <v>195</v>
      </c>
    </row>
    <row r="15" spans="1:6" x14ac:dyDescent="0.25">
      <c r="A15" t="s">
        <v>202</v>
      </c>
      <c r="B15" t="s">
        <v>203</v>
      </c>
      <c r="C15" t="s">
        <v>195</v>
      </c>
    </row>
    <row r="16" spans="1:6" x14ac:dyDescent="0.25">
      <c r="A16" t="s">
        <v>204</v>
      </c>
      <c r="B16" t="s">
        <v>205</v>
      </c>
      <c r="C16" t="s">
        <v>195</v>
      </c>
    </row>
    <row r="17" spans="1:3" x14ac:dyDescent="0.25">
      <c r="A17" t="s">
        <v>206</v>
      </c>
      <c r="B17" t="s">
        <v>207</v>
      </c>
      <c r="C17" t="s">
        <v>208</v>
      </c>
    </row>
  </sheetData>
  <mergeCells count="2">
    <mergeCell ref="A1:F1"/>
    <mergeCell ref="A9:F9"/>
  </mergeCells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Props1.xml><?xml version="1.0" encoding="utf-8"?>
<ds:datastoreItem xmlns:ds="http://schemas.openxmlformats.org/officeDocument/2006/customXml" ds:itemID="{8667267F-6E41-491A-AC36-2014C18383D7}">
  <ds:schemaRefs/>
</ds:datastoreItem>
</file>

<file path=customXml/itemProps2.xml><?xml version="1.0" encoding="utf-8"?>
<ds:datastoreItem xmlns:ds="http://schemas.openxmlformats.org/officeDocument/2006/customXml" ds:itemID="{56D26BAB-8390-4C82-8542-474C4DC8DE4E}">
  <ds:schemaRefs/>
</ds:datastoreItem>
</file>

<file path=customXml/itemProps3.xml><?xml version="1.0" encoding="utf-8"?>
<ds:datastoreItem xmlns:ds="http://schemas.openxmlformats.org/officeDocument/2006/customXml" ds:itemID="{CB7C86EF-A9FF-4117-BEC9-D62044EB3A35}">
  <ds:schemaRefs/>
</ds:datastoreItem>
</file>

<file path=customXml/itemProps4.xml><?xml version="1.0" encoding="utf-8"?>
<ds:datastoreItem xmlns:ds="http://schemas.openxmlformats.org/officeDocument/2006/customXml" ds:itemID="{DC15DC68-D156-4EC0-BCE1-EC7D47EB075A}">
  <ds:schemaRefs/>
</ds:datastoreItem>
</file>

<file path=customXml/itemProps5.xml><?xml version="1.0" encoding="utf-8"?>
<ds:datastoreItem xmlns:ds="http://schemas.openxmlformats.org/officeDocument/2006/customXml" ds:itemID="{6D118F2B-8C02-4672-8606-039E53B95181}">
  <ds:schemaRefs/>
</ds:datastoreItem>
</file>

<file path=customXml/itemProps6.xml><?xml version="1.0" encoding="utf-8"?>
<ds:datastoreItem xmlns:ds="http://schemas.openxmlformats.org/officeDocument/2006/customXml" ds:itemID="{1182F691-A3D3-490F-90DE-F2C003097320}">
  <ds:schemaRefs/>
</ds:datastoreItem>
</file>

<file path=customXml/itemProps7.xml><?xml version="1.0" encoding="utf-8"?>
<ds:datastoreItem xmlns:ds="http://schemas.openxmlformats.org/officeDocument/2006/customXml" ds:itemID="{7729CF74-161E-4EA0-B00C-3BAD5ABBE633}">
  <ds:schemaRefs/>
</ds:datastoreItem>
</file>

<file path=customXml/itemProps8.xml><?xml version="1.0" encoding="utf-8"?>
<ds:datastoreItem xmlns:ds="http://schemas.openxmlformats.org/officeDocument/2006/customXml" ds:itemID="{3E4B013C-5CFB-405D-88C8-0F8770C5E7F9}">
  <ds:schemaRefs/>
</ds:datastoreItem>
</file>

<file path=customXml/itemProps9.xml><?xml version="1.0" encoding="utf-8"?>
<ds:datastoreItem xmlns:ds="http://schemas.openxmlformats.org/officeDocument/2006/customXml" ds:itemID="{338D46D6-58D9-45B8-B75E-2870C4F787D8}">
  <ds:schemaRefs/>
</ds:datastoreItem>
</file>

<file path=customXml/itemProps10.xml><?xml version="1.0" encoding="utf-8"?>
<ds:datastoreItem xmlns:ds="http://schemas.openxmlformats.org/officeDocument/2006/customXml" ds:itemID="{FCBE2775-44C4-44D4-B9E2-07DC6A22E438}">
  <ds:schemaRefs/>
</ds:datastoreItem>
</file>

<file path=customXml/itemProps11.xml><?xml version="1.0" encoding="utf-8"?>
<ds:datastoreItem xmlns:ds="http://schemas.openxmlformats.org/officeDocument/2006/customXml" ds:itemID="{24F1EA36-45B4-40CE-AECD-63B746FF755F}">
  <ds:schemaRefs/>
</ds:datastoreItem>
</file>

<file path=customXml/itemProps12.xml><?xml version="1.0" encoding="utf-8"?>
<ds:datastoreItem xmlns:ds="http://schemas.openxmlformats.org/officeDocument/2006/customXml" ds:itemID="{BA755393-28BC-478F-9BFB-2EB3E7DB93DA}">
  <ds:schemaRefs/>
</ds:datastoreItem>
</file>

<file path=customXml/itemProps13.xml><?xml version="1.0" encoding="utf-8"?>
<ds:datastoreItem xmlns:ds="http://schemas.openxmlformats.org/officeDocument/2006/customXml" ds:itemID="{88E5E096-421D-4B8E-B311-BB2185C10698}">
  <ds:schemaRefs/>
</ds:datastoreItem>
</file>

<file path=customXml/itemProps14.xml><?xml version="1.0" encoding="utf-8"?>
<ds:datastoreItem xmlns:ds="http://schemas.openxmlformats.org/officeDocument/2006/customXml" ds:itemID="{B250365C-B085-4C99-83DA-CEAB195CC752}">
  <ds:schemaRefs/>
</ds:datastoreItem>
</file>

<file path=customXml/itemProps15.xml><?xml version="1.0" encoding="utf-8"?>
<ds:datastoreItem xmlns:ds="http://schemas.openxmlformats.org/officeDocument/2006/customXml" ds:itemID="{A2912E0B-7894-45FB-A9E8-C57B81726E7C}">
  <ds:schemaRefs/>
</ds:datastoreItem>
</file>

<file path=customXml/itemProps16.xml><?xml version="1.0" encoding="utf-8"?>
<ds:datastoreItem xmlns:ds="http://schemas.openxmlformats.org/officeDocument/2006/customXml" ds:itemID="{0ECBF08D-CD77-422B-BFD5-D6FCBD78C089}">
  <ds:schemaRefs/>
</ds:datastoreItem>
</file>

<file path=customXml/itemProps17.xml><?xml version="1.0" encoding="utf-8"?>
<ds:datastoreItem xmlns:ds="http://schemas.openxmlformats.org/officeDocument/2006/customXml" ds:itemID="{95EBB6FF-2EC9-4330-A232-BF54AC7439D4}">
  <ds:schemaRefs/>
</ds:datastoreItem>
</file>

<file path=customXml/itemProps18.xml><?xml version="1.0" encoding="utf-8"?>
<ds:datastoreItem xmlns:ds="http://schemas.openxmlformats.org/officeDocument/2006/customXml" ds:itemID="{818B6EB7-54C1-4A97-BE2B-FD6B840AD86E}">
  <ds:schemaRefs/>
</ds:datastoreItem>
</file>

<file path=customXml/itemProps19.xml><?xml version="1.0" encoding="utf-8"?>
<ds:datastoreItem xmlns:ds="http://schemas.openxmlformats.org/officeDocument/2006/customXml" ds:itemID="{203625B0-5590-49B5-A2CF-6CB76CA9A377}">
  <ds:schemaRefs/>
</ds:datastoreItem>
</file>

<file path=customXml/itemProps20.xml><?xml version="1.0" encoding="utf-8"?>
<ds:datastoreItem xmlns:ds="http://schemas.openxmlformats.org/officeDocument/2006/customXml" ds:itemID="{67AEB99A-2CAC-4712-B73F-5ECAD3E16E7B}">
  <ds:schemaRefs/>
</ds:datastoreItem>
</file>

<file path=customXml/itemProps21.xml><?xml version="1.0" encoding="utf-8"?>
<ds:datastoreItem xmlns:ds="http://schemas.openxmlformats.org/officeDocument/2006/customXml" ds:itemID="{0EA2BFD0-BADB-4F23-92EC-2E2FD705D467}">
  <ds:schemaRefs/>
</ds:datastoreItem>
</file>

<file path=customXml/itemProps22.xml><?xml version="1.0" encoding="utf-8"?>
<ds:datastoreItem xmlns:ds="http://schemas.openxmlformats.org/officeDocument/2006/customXml" ds:itemID="{7A2509FF-6D89-45CE-BB00-964BFCFFA255}">
  <ds:schemaRefs/>
</ds:datastoreItem>
</file>

<file path=customXml/itemProps23.xml><?xml version="1.0" encoding="utf-8"?>
<ds:datastoreItem xmlns:ds="http://schemas.openxmlformats.org/officeDocument/2006/customXml" ds:itemID="{9793EFEC-5F6C-49D0-96C1-B2D4B19D3E65}">
  <ds:schemaRefs/>
</ds:datastoreItem>
</file>

<file path=customXml/itemProps24.xml><?xml version="1.0" encoding="utf-8"?>
<ds:datastoreItem xmlns:ds="http://schemas.openxmlformats.org/officeDocument/2006/customXml" ds:itemID="{13915529-5947-4E89-B92C-71285A8CB0A4}">
  <ds:schemaRefs/>
</ds:datastoreItem>
</file>

<file path=customXml/itemProps25.xml><?xml version="1.0" encoding="utf-8"?>
<ds:datastoreItem xmlns:ds="http://schemas.openxmlformats.org/officeDocument/2006/customXml" ds:itemID="{6D58841F-884B-436F-85E4-934DFC05A8A7}">
  <ds:schemaRefs/>
</ds:datastoreItem>
</file>

<file path=customXml/itemProps26.xml><?xml version="1.0" encoding="utf-8"?>
<ds:datastoreItem xmlns:ds="http://schemas.openxmlformats.org/officeDocument/2006/customXml" ds:itemID="{6A1C5728-8282-4559-B9E5-CB560818EBD8}">
  <ds:schemaRefs/>
</ds:datastoreItem>
</file>

<file path=customXml/itemProps27.xml><?xml version="1.0" encoding="utf-8"?>
<ds:datastoreItem xmlns:ds="http://schemas.openxmlformats.org/officeDocument/2006/customXml" ds:itemID="{94751F59-F492-4D12-AF71-201AA26B3A78}">
  <ds:schemaRefs/>
</ds:datastoreItem>
</file>

<file path=customXml/itemProps28.xml><?xml version="1.0" encoding="utf-8"?>
<ds:datastoreItem xmlns:ds="http://schemas.openxmlformats.org/officeDocument/2006/customXml" ds:itemID="{E48CD0BF-CF87-4431-9521-E0CD8D4381A6}">
  <ds:schemaRefs/>
</ds:datastoreItem>
</file>

<file path=customXml/itemProps29.xml><?xml version="1.0" encoding="utf-8"?>
<ds:datastoreItem xmlns:ds="http://schemas.openxmlformats.org/officeDocument/2006/customXml" ds:itemID="{9BCAE37C-CCE7-4CAB-A348-17CE8DB55AF4}">
  <ds:schemaRefs/>
</ds:datastoreItem>
</file>

<file path=customXml/itemProps30.xml><?xml version="1.0" encoding="utf-8"?>
<ds:datastoreItem xmlns:ds="http://schemas.openxmlformats.org/officeDocument/2006/customXml" ds:itemID="{9CF0C844-E67E-48FC-9934-D8BBF9DE6CD8}">
  <ds:schemaRefs/>
</ds:datastoreItem>
</file>

<file path=customXml/itemProps31.xml><?xml version="1.0" encoding="utf-8"?>
<ds:datastoreItem xmlns:ds="http://schemas.openxmlformats.org/officeDocument/2006/customXml" ds:itemID="{F7228572-E016-40B8-9913-AE96655B1FD3}">
  <ds:schemaRefs>
    <ds:schemaRef ds:uri="http://schemas.microsoft.com/DataMashup"/>
  </ds:schemaRefs>
</ds:datastoreItem>
</file>

<file path=customXml/itemProps32.xml><?xml version="1.0" encoding="utf-8"?>
<ds:datastoreItem xmlns:ds="http://schemas.openxmlformats.org/officeDocument/2006/customXml" ds:itemID="{6FA484A1-5DCE-4FFE-B7FD-24C2C9164877}">
  <ds:schemaRefs/>
</ds:datastoreItem>
</file>

<file path=customXml/itemProps33.xml><?xml version="1.0" encoding="utf-8"?>
<ds:datastoreItem xmlns:ds="http://schemas.openxmlformats.org/officeDocument/2006/customXml" ds:itemID="{E29D5FBD-A8DA-4833-B3CC-97928160FBEA}">
  <ds:schemaRefs/>
</ds:datastoreItem>
</file>

<file path=customXml/itemProps34.xml><?xml version="1.0" encoding="utf-8"?>
<ds:datastoreItem xmlns:ds="http://schemas.openxmlformats.org/officeDocument/2006/customXml" ds:itemID="{63387B8E-CC66-440F-BD92-620BE2F0FEE2}">
  <ds:schemaRefs/>
</ds:datastoreItem>
</file>

<file path=customXml/itemProps35.xml><?xml version="1.0" encoding="utf-8"?>
<ds:datastoreItem xmlns:ds="http://schemas.openxmlformats.org/officeDocument/2006/customXml" ds:itemID="{4A2BCB08-47B9-4DEC-B7DC-8338D2F6BDCF}">
  <ds:schemaRefs/>
</ds:datastoreItem>
</file>

<file path=customXml/itemProps36.xml><?xml version="1.0" encoding="utf-8"?>
<ds:datastoreItem xmlns:ds="http://schemas.openxmlformats.org/officeDocument/2006/customXml" ds:itemID="{19BAD559-8F3B-46B2-88FF-52F9C42CAF66}">
  <ds:schemaRefs/>
</ds:datastoreItem>
</file>

<file path=customXml/itemProps37.xml><?xml version="1.0" encoding="utf-8"?>
<ds:datastoreItem xmlns:ds="http://schemas.openxmlformats.org/officeDocument/2006/customXml" ds:itemID="{1AE38C9A-B788-4B7B-AC7C-8AF101AA67B8}">
  <ds:schemaRefs/>
</ds:datastoreItem>
</file>

<file path=customXml/itemProps38.xml><?xml version="1.0" encoding="utf-8"?>
<ds:datastoreItem xmlns:ds="http://schemas.openxmlformats.org/officeDocument/2006/customXml" ds:itemID="{AB90E2E0-5F8C-4361-BE21-761860FBF86C}">
  <ds:schemaRefs/>
</ds:datastoreItem>
</file>

<file path=customXml/itemProps39.xml><?xml version="1.0" encoding="utf-8"?>
<ds:datastoreItem xmlns:ds="http://schemas.openxmlformats.org/officeDocument/2006/customXml" ds:itemID="{DD92F6B2-000C-4ABA-B5A9-C2683A45AAED}">
  <ds:schemaRefs/>
</ds:datastoreItem>
</file>

<file path=customXml/itemProps40.xml><?xml version="1.0" encoding="utf-8"?>
<ds:datastoreItem xmlns:ds="http://schemas.openxmlformats.org/officeDocument/2006/customXml" ds:itemID="{50773E6E-B5B9-4364-9CBF-9D5D8ECA24FE}">
  <ds:schemaRefs/>
</ds:datastoreItem>
</file>

<file path=customXml/itemProps41.xml><?xml version="1.0" encoding="utf-8"?>
<ds:datastoreItem xmlns:ds="http://schemas.openxmlformats.org/officeDocument/2006/customXml" ds:itemID="{04B99790-A389-42BF-B314-895195CE4340}">
  <ds:schemaRefs/>
</ds:datastoreItem>
</file>

<file path=customXml/itemProps42.xml><?xml version="1.0" encoding="utf-8"?>
<ds:datastoreItem xmlns:ds="http://schemas.openxmlformats.org/officeDocument/2006/customXml" ds:itemID="{32CF792C-3705-4FB9-BEDD-EC1DC5E6739A}">
  <ds:schemaRefs/>
</ds:datastoreItem>
</file>

<file path=customXml/itemProps43.xml><?xml version="1.0" encoding="utf-8"?>
<ds:datastoreItem xmlns:ds="http://schemas.openxmlformats.org/officeDocument/2006/customXml" ds:itemID="{D25A7C9F-8DCA-4635-8C71-989751DF7C6B}">
  <ds:schemaRefs/>
</ds:datastoreItem>
</file>

<file path=customXml/itemProps44.xml><?xml version="1.0" encoding="utf-8"?>
<ds:datastoreItem xmlns:ds="http://schemas.openxmlformats.org/officeDocument/2006/customXml" ds:itemID="{1DC3BE4D-AFD4-4E88-A7C9-920A6F0BECEC}">
  <ds:schemaRefs/>
</ds:datastoreItem>
</file>

<file path=customXml/itemProps45.xml><?xml version="1.0" encoding="utf-8"?>
<ds:datastoreItem xmlns:ds="http://schemas.openxmlformats.org/officeDocument/2006/customXml" ds:itemID="{3D64F2B2-5976-408E-98B6-D5D97A3B2427}">
  <ds:schemaRefs/>
</ds:datastoreItem>
</file>

<file path=customXml/itemProps46.xml><?xml version="1.0" encoding="utf-8"?>
<ds:datastoreItem xmlns:ds="http://schemas.openxmlformats.org/officeDocument/2006/customXml" ds:itemID="{428A9761-DADB-4CBC-9804-63EB031B9162}">
  <ds:schemaRefs/>
</ds:datastoreItem>
</file>

<file path=customXml/itemProps47.xml><?xml version="1.0" encoding="utf-8"?>
<ds:datastoreItem xmlns:ds="http://schemas.openxmlformats.org/officeDocument/2006/customXml" ds:itemID="{7F673853-2E9D-4D47-BCB1-C82CF0E8B7B6}">
  <ds:schemaRefs/>
</ds:datastoreItem>
</file>

<file path=customXml/itemProps48.xml><?xml version="1.0" encoding="utf-8"?>
<ds:datastoreItem xmlns:ds="http://schemas.openxmlformats.org/officeDocument/2006/customXml" ds:itemID="{A9EC259C-1DBF-4064-8AC9-07DFB6BB8B2E}">
  <ds:schemaRefs/>
</ds:datastoreItem>
</file>

<file path=customXml/itemProps49.xml><?xml version="1.0" encoding="utf-8"?>
<ds:datastoreItem xmlns:ds="http://schemas.openxmlformats.org/officeDocument/2006/customXml" ds:itemID="{98E94756-E56C-47B6-B3F3-3079DBD94FB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1</vt:i4>
      </vt:variant>
    </vt:vector>
  </HeadingPairs>
  <TitlesOfParts>
    <vt:vector size="18" baseType="lpstr">
      <vt:lpstr>Datosimportados</vt:lpstr>
      <vt:lpstr>Modelo_Estrella</vt:lpstr>
      <vt:lpstr>Estadistica_ToolPak</vt:lpstr>
      <vt:lpstr>Fact_Ventas</vt:lpstr>
      <vt:lpstr>Dim_Calendario</vt:lpstr>
      <vt:lpstr>Dim_Clientes</vt:lpstr>
      <vt:lpstr>Dim_Productos</vt:lpstr>
      <vt:lpstr>Medidas_DAX</vt:lpstr>
      <vt:lpstr>Estadistica_Descriptiva</vt:lpstr>
      <vt:lpstr>Resumen del escenario</vt:lpstr>
      <vt:lpstr>Resumen del escenario 2</vt:lpstr>
      <vt:lpstr>Resumen del escenario 3</vt:lpstr>
      <vt:lpstr>Resumen del escenario 4</vt:lpstr>
      <vt:lpstr>Simulacion</vt:lpstr>
      <vt:lpstr>Resumen_Escenarios</vt:lpstr>
      <vt:lpstr>Dashboard Final</vt:lpstr>
      <vt:lpstr>Prompts IA utilizados</vt:lpstr>
      <vt:lpstr>Tasa_Costo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cantalupo</dc:creator>
  <cp:lastModifiedBy>agustin cantalupo</cp:lastModifiedBy>
  <cp:lastPrinted>2026-10-01T15:40:51Z</cp:lastPrinted>
  <dcterms:created xsi:type="dcterms:W3CDTF">2026-09-29T22:07:02Z</dcterms:created>
  <dcterms:modified xsi:type="dcterms:W3CDTF">2026-10-01T15:41:39Z</dcterms:modified>
</cp:coreProperties>
</file>